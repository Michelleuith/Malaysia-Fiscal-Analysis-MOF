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pivotTables/pivotTable3.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202300"/>
  <mc:AlternateContent xmlns:mc="http://schemas.openxmlformats.org/markup-compatibility/2006">
    <mc:Choice Requires="x15">
      <x15ac:absPath xmlns:x15ac="http://schemas.microsoft.com/office/spreadsheetml/2010/11/ac" url="D:\DEGREE\SEM 9\DATA STORYTELLING\PROJECT\New folder\"/>
    </mc:Choice>
  </mc:AlternateContent>
  <xr:revisionPtr revIDLastSave="0" documentId="13_ncr:1_{8E61FB7D-6A2A-4EE4-BFED-5F38F6EB2F34}" xr6:coauthVersionLast="47" xr6:coauthVersionMax="47" xr10:uidLastSave="{00000000-0000-0000-0000-000000000000}"/>
  <bookViews>
    <workbookView xWindow="-103" yWindow="-103" windowWidth="24892" windowHeight="14914" firstSheet="3" activeTab="7" xr2:uid="{D9AA9C31-EE65-4A03-B5B1-89BBDA4EDC14}"/>
  </bookViews>
  <sheets>
    <sheet name="Federal Government Finance" sheetId="4" r:id="rId1"/>
    <sheet name="Federal Government Revenue" sheetId="5" r:id="rId2"/>
    <sheet name="F.G Operating Expenditure" sheetId="15" r:id="rId3"/>
    <sheet name="F.G Development Expenditure" sheetId="7" r:id="rId4"/>
    <sheet name="Chart 1" sheetId="9" r:id="rId5"/>
    <sheet name="Chart 2" sheetId="8" r:id="rId6"/>
    <sheet name="Chart 3" sheetId="16" r:id="rId7"/>
    <sheet name="Chart 4" sheetId="17" r:id="rId8"/>
    <sheet name="Dashboard" sheetId="13" r:id="rId9"/>
  </sheets>
  <definedNames>
    <definedName name="Slicer__Year">#N/A</definedName>
    <definedName name="Slicer__Year1">#N/A</definedName>
  </definedNames>
  <calcPr calcId="191029"/>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15" l="1"/>
  <c r="H14" i="15"/>
  <c r="I14" i="15" s="1"/>
  <c r="H13" i="15"/>
  <c r="I13" i="15" s="1"/>
  <c r="H12" i="15"/>
  <c r="I12" i="15" s="1"/>
  <c r="H10" i="15"/>
  <c r="L10" i="5"/>
  <c r="P10" i="5"/>
  <c r="U10" i="5"/>
  <c r="V10" i="5" s="1"/>
  <c r="U11" i="5"/>
  <c r="V11" i="5" s="1"/>
  <c r="V12" i="5"/>
  <c r="V13" i="5"/>
  <c r="V1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tc={428DD98A-DB27-42DF-BD36-9310E544294C}</author>
  </authors>
  <commentList>
    <comment ref="B14" authorId="0" shapeId="0" xr:uid="{428DD98A-DB27-42DF-BD36-9310E544294C}">
      <text>
        <t>[Threaded comment]
Your version of Excel allows you to read this threaded comment; however, any edits to it will get removed if the file is opened in a newer version of Excel. Learn more: https://go.microsoft.com/fwlink/?linkid=870924
Comment:
    Covid-19 pandamic</t>
      </text>
    </comment>
  </commentList>
</comments>
</file>

<file path=xl/sharedStrings.xml><?xml version="1.0" encoding="utf-8"?>
<sst xmlns="http://schemas.openxmlformats.org/spreadsheetml/2006/main" count="94" uniqueCount="82">
  <si>
    <t>Year</t>
  </si>
  <si>
    <t>Revenue</t>
  </si>
  <si>
    <t>Surplus /         Deficit (-)</t>
  </si>
  <si>
    <t>Gross Development Expenditure</t>
  </si>
  <si>
    <t>Less: Loan Recoveries</t>
  </si>
  <si>
    <t>Net Development Expenditure</t>
  </si>
  <si>
    <t>COVID-19 Fund</t>
  </si>
  <si>
    <t>Overall Surplus 
/ Deficit (-)</t>
  </si>
  <si>
    <t>Gross Domestic Borrowing</t>
  </si>
  <si>
    <t>Less: Domestic Repayment</t>
  </si>
  <si>
    <t>Net Domestic Borrowing</t>
  </si>
  <si>
    <t>Gross Foreign Borrowing</t>
  </si>
  <si>
    <t>Less: Foreign Repayment</t>
  </si>
  <si>
    <t>Net Foreign Borrowing</t>
  </si>
  <si>
    <t>Non-Revenue Receipts</t>
  </si>
  <si>
    <t>Total 
Revenue</t>
  </si>
  <si>
    <t>Licences and Permits</t>
  </si>
  <si>
    <t>Petroleum 
Royalty</t>
  </si>
  <si>
    <t>Interest and Returns on Investment</t>
  </si>
  <si>
    <t>Others</t>
  </si>
  <si>
    <t>Sub 
Total</t>
  </si>
  <si>
    <t>Companies Income Tax</t>
  </si>
  <si>
    <t>Individuals Income Tax</t>
  </si>
  <si>
    <t>Petroleum Income Tax</t>
  </si>
  <si>
    <t>Stamp Duties</t>
  </si>
  <si>
    <t>Export 
Duties</t>
  </si>
  <si>
    <t>Import 
Duties</t>
  </si>
  <si>
    <t>Excise 
Duties</t>
  </si>
  <si>
    <t>Sales
Tax</t>
  </si>
  <si>
    <t>Service 
Tax</t>
  </si>
  <si>
    <r>
      <t xml:space="preserve">
</t>
    </r>
    <r>
      <rPr>
        <i/>
        <sz val="10"/>
        <rFont val="Arial"/>
        <family val="2"/>
      </rPr>
      <t>Year</t>
    </r>
  </si>
  <si>
    <t>Operating Expenditure</t>
  </si>
  <si>
    <t>Use of 
Assets</t>
  </si>
  <si>
    <t>Goods and Services Tax</t>
  </si>
  <si>
    <t>Emoluments</t>
  </si>
  <si>
    <t>Pension and gratuities</t>
  </si>
  <si>
    <t>Debt service 
charges</t>
  </si>
  <si>
    <t>Supplies and services</t>
  </si>
  <si>
    <t>Subsidies</t>
  </si>
  <si>
    <t>Asset 
acquisition</t>
  </si>
  <si>
    <t>Total</t>
  </si>
  <si>
    <t>Agriculture 
and rural development</t>
  </si>
  <si>
    <t xml:space="preserve">Trade and industry              </t>
  </si>
  <si>
    <t>Transport</t>
  </si>
  <si>
    <t>Energy and public utilities</t>
  </si>
  <si>
    <t>Sub-total</t>
  </si>
  <si>
    <t>Education</t>
  </si>
  <si>
    <t>Health</t>
  </si>
  <si>
    <t>Housing</t>
  </si>
  <si>
    <t>Social and community services</t>
  </si>
  <si>
    <t>Defence and security</t>
  </si>
  <si>
    <t>General administration</t>
  </si>
  <si>
    <t xml:space="preserve">
Year</t>
  </si>
  <si>
    <t>Grants and transfers</t>
  </si>
  <si>
    <t>Other expenditure</t>
  </si>
  <si>
    <t>Column Labels</t>
  </si>
  <si>
    <t>Grand Total</t>
  </si>
  <si>
    <t>Row Labels</t>
  </si>
  <si>
    <t>Sum of Revenue</t>
  </si>
  <si>
    <t>Sum of Operating Expenditure</t>
  </si>
  <si>
    <t>Sum of Gross Development Expenditure</t>
  </si>
  <si>
    <t>Values</t>
  </si>
  <si>
    <t xml:space="preserve"> Emoluments</t>
  </si>
  <si>
    <t xml:space="preserve"> Pension and gratuities</t>
  </si>
  <si>
    <t xml:space="preserve"> Supplies and services</t>
  </si>
  <si>
    <t xml:space="preserve"> Subsidies</t>
  </si>
  <si>
    <t xml:space="preserve"> Asset 
acquisition</t>
  </si>
  <si>
    <t xml:space="preserve"> Grants and transfers</t>
  </si>
  <si>
    <t xml:space="preserve"> Other expenditure</t>
  </si>
  <si>
    <t xml:space="preserve"> Debt service </t>
  </si>
  <si>
    <t xml:space="preserve"> Agriculture 
and rural development</t>
  </si>
  <si>
    <t xml:space="preserve"> Trade and industry              </t>
  </si>
  <si>
    <t xml:space="preserve"> Transport</t>
  </si>
  <si>
    <t xml:space="preserve"> Energy and public utilities</t>
  </si>
  <si>
    <t xml:space="preserve"> Others</t>
  </si>
  <si>
    <t xml:space="preserve"> Education</t>
  </si>
  <si>
    <t xml:space="preserve"> Health</t>
  </si>
  <si>
    <t xml:space="preserve"> Housing</t>
  </si>
  <si>
    <t xml:space="preserve"> Social and community services</t>
  </si>
  <si>
    <t xml:space="preserve"> Defence and security</t>
  </si>
  <si>
    <t xml:space="preserve"> General administration</t>
  </si>
  <si>
    <t>Federal Government Finance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</si>
</sst>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_(* \(#,##0\);_(* &quot;-&quot;??_);_(@_)"/>
    <numFmt numFmtId="165" formatCode="_(* #,##0.00_);_(* \(#,##0.00\);_(* &quot;-&quot;??_);_(@_)"/>
    <numFmt numFmtId="166" formatCode="#,##0\ \ \ \ \ \ ;\-#,##0\ \ \ \ \ \ ;&quot;-&quot;\ \ \ \ \ \ ;@&quot;-&quot;\ \ \ \ \ \ "/>
    <numFmt numFmtId="167" formatCode="_-* #,##0_-;\-* #,##0_-;_-* &quot;-&quot;??_-;_-@_-"/>
  </numFmts>
  <fonts count="14" x14ac:knownFonts="1">
    <font>
      <sz val="11"/>
      <color theme="1"/>
      <name val="Aptos Narrow"/>
      <family val="2"/>
      <scheme val="minor"/>
    </font>
    <font>
      <sz val="11"/>
      <color theme="1"/>
      <name val="Aptos Narrow"/>
      <family val="2"/>
      <scheme val="minor"/>
    </font>
    <font>
      <sz val="12"/>
      <name val="Arial"/>
      <family val="2"/>
    </font>
    <font>
      <sz val="10"/>
      <name val="Arial"/>
      <family val="2"/>
    </font>
    <font>
      <i/>
      <sz val="10"/>
      <name val="Arial"/>
      <family val="2"/>
    </font>
    <font>
      <sz val="11"/>
      <color indexed="8"/>
      <name val="Calibri"/>
      <family val="2"/>
    </font>
    <font>
      <sz val="10"/>
      <color theme="1"/>
      <name val="Arial"/>
      <family val="2"/>
    </font>
    <font>
      <i/>
      <sz val="9"/>
      <name val="Arial"/>
      <family val="2"/>
    </font>
    <font>
      <sz val="11"/>
      <color theme="1"/>
      <name val="Arial"/>
      <family val="2"/>
    </font>
    <font>
      <sz val="10"/>
      <color indexed="8"/>
      <name val="Arial"/>
      <family val="2"/>
    </font>
    <font>
      <sz val="11"/>
      <color theme="0"/>
      <name val="Aptos Narrow"/>
      <family val="2"/>
      <scheme val="minor"/>
    </font>
    <font>
      <b/>
      <sz val="22"/>
      <color theme="0"/>
      <name val="Times New Roman"/>
      <family val="1"/>
    </font>
    <font>
      <b/>
      <sz val="48"/>
      <color theme="0"/>
      <name val="Times New Roman"/>
      <family val="1"/>
    </font>
    <font>
      <sz val="9"/>
      <color indexed="81"/>
      <name val="Tahoma"/>
      <charset val="1"/>
    </font>
  </fonts>
  <fills count="4">
    <fill>
      <patternFill patternType="none"/>
    </fill>
    <fill>
      <patternFill patternType="gray125"/>
    </fill>
    <fill>
      <patternFill patternType="solid">
        <fgColor theme="0"/>
        <bgColor indexed="64"/>
      </patternFill>
    </fill>
    <fill>
      <patternFill patternType="solid">
        <fgColor rgb="FF7053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0" fontId="2" fillId="0" borderId="0"/>
    <xf numFmtId="165" fontId="5" fillId="0" borderId="0" applyFont="0" applyFill="0" applyBorder="0" applyAlignment="0" applyProtection="0"/>
    <xf numFmtId="0" fontId="8" fillId="0" borderId="0"/>
    <xf numFmtId="165" fontId="5" fillId="0" borderId="0" applyFont="0" applyFill="0" applyBorder="0" applyAlignment="0" applyProtection="0"/>
  </cellStyleXfs>
  <cellXfs count="46">
    <xf numFmtId="0" fontId="0" fillId="0" borderId="0" xfId="0"/>
    <xf numFmtId="0" fontId="3" fillId="0" borderId="0" xfId="2" applyFont="1" applyAlignment="1">
      <alignment horizontal="left" vertical="center" wrapText="1" indent="5"/>
    </xf>
    <xf numFmtId="0" fontId="4" fillId="0" borderId="1" xfId="2" applyFont="1" applyBorder="1" applyAlignment="1">
      <alignment horizontal="center" vertical="center" wrapText="1"/>
    </xf>
    <xf numFmtId="0" fontId="3" fillId="0" borderId="1" xfId="2" applyFont="1" applyBorder="1" applyAlignment="1">
      <alignment horizontal="center" vertical="center" wrapText="1"/>
    </xf>
    <xf numFmtId="164" fontId="3" fillId="0" borderId="1" xfId="3" applyNumberFormat="1" applyFont="1" applyFill="1" applyBorder="1" applyAlignment="1">
      <alignment horizontal="right" vertical="center" wrapText="1" indent="1"/>
    </xf>
    <xf numFmtId="3" fontId="3" fillId="0" borderId="1" xfId="3" applyNumberFormat="1" applyFont="1" applyFill="1" applyBorder="1" applyAlignment="1">
      <alignment horizontal="right" vertical="center" wrapText="1" indent="1"/>
    </xf>
    <xf numFmtId="166" fontId="3" fillId="0" borderId="1" xfId="3" quotePrefix="1" applyNumberFormat="1" applyFont="1" applyFill="1" applyBorder="1" applyAlignment="1">
      <alignment horizontal="right" vertical="center" wrapText="1" indent="1"/>
    </xf>
    <xf numFmtId="164" fontId="6" fillId="0" borderId="1" xfId="3" applyNumberFormat="1" applyFont="1" applyFill="1" applyBorder="1" applyAlignment="1">
      <alignment horizontal="right" vertical="center" wrapText="1" indent="1"/>
    </xf>
    <xf numFmtId="166" fontId="6" fillId="0" borderId="1" xfId="3" quotePrefix="1" applyNumberFormat="1" applyFont="1" applyFill="1" applyBorder="1" applyAlignment="1">
      <alignment horizontal="right" vertical="center" wrapText="1" indent="1"/>
    </xf>
    <xf numFmtId="3" fontId="6" fillId="0" borderId="1" xfId="1" applyNumberFormat="1" applyFont="1" applyFill="1" applyBorder="1" applyAlignment="1">
      <alignment horizontal="right" vertical="center" indent="1"/>
    </xf>
    <xf numFmtId="37" fontId="3" fillId="0" borderId="1" xfId="3" applyNumberFormat="1" applyFont="1" applyFill="1" applyBorder="1" applyAlignment="1">
      <alignment horizontal="right" vertical="center" wrapText="1" indent="1"/>
    </xf>
    <xf numFmtId="0" fontId="4" fillId="0" borderId="1" xfId="2" applyFont="1" applyBorder="1" applyAlignment="1">
      <alignment horizontal="center" vertical="center"/>
    </xf>
    <xf numFmtId="3" fontId="3" fillId="0" borderId="1" xfId="5" applyNumberFormat="1" applyFont="1" applyFill="1" applyBorder="1" applyAlignment="1">
      <alignment horizontal="right" vertical="center" wrapText="1" indent="1"/>
    </xf>
    <xf numFmtId="164" fontId="6" fillId="0" borderId="1" xfId="5" applyNumberFormat="1" applyFont="1" applyFill="1" applyBorder="1" applyAlignment="1">
      <alignment horizontal="right" vertical="center" wrapText="1" indent="1"/>
    </xf>
    <xf numFmtId="3" fontId="9" fillId="0" borderId="1" xfId="5" applyNumberFormat="1" applyFont="1" applyFill="1" applyBorder="1" applyAlignment="1">
      <alignment horizontal="right" vertical="center" wrapText="1" indent="1"/>
    </xf>
    <xf numFmtId="3" fontId="6" fillId="0" borderId="1" xfId="5" applyNumberFormat="1" applyFont="1" applyFill="1" applyBorder="1" applyAlignment="1">
      <alignment horizontal="right" vertical="center" wrapText="1" indent="1"/>
    </xf>
    <xf numFmtId="164" fontId="3" fillId="0" borderId="1" xfId="5" applyNumberFormat="1" applyFont="1" applyFill="1" applyBorder="1" applyAlignment="1">
      <alignment horizontal="right" vertical="center" wrapText="1" indent="1"/>
    </xf>
    <xf numFmtId="0" fontId="4" fillId="0" borderId="2" xfId="2" applyFont="1" applyBorder="1" applyAlignment="1">
      <alignment horizontal="center" vertical="center" wrapText="1"/>
    </xf>
    <xf numFmtId="164" fontId="6" fillId="0" borderId="1" xfId="4" applyNumberFormat="1" applyFont="1" applyBorder="1"/>
    <xf numFmtId="164" fontId="3" fillId="0" borderId="1" xfId="4" applyNumberFormat="1" applyFont="1" applyBorder="1"/>
    <xf numFmtId="0" fontId="3" fillId="0" borderId="2" xfId="2" applyFont="1" applyBorder="1" applyAlignment="1">
      <alignment horizontal="center" vertical="center" wrapText="1"/>
    </xf>
    <xf numFmtId="0" fontId="3" fillId="0" borderId="2" xfId="2" applyFont="1" applyBorder="1" applyAlignment="1">
      <alignment vertical="center" wrapText="1"/>
    </xf>
    <xf numFmtId="0" fontId="4" fillId="0" borderId="2" xfId="2" applyFont="1" applyBorder="1" applyAlignment="1">
      <alignment vertical="center" wrapText="1"/>
    </xf>
    <xf numFmtId="0" fontId="0" fillId="0" borderId="0" xfId="0" applyAlignment="1">
      <alignment horizontal="center"/>
    </xf>
    <xf numFmtId="0" fontId="7" fillId="0" borderId="2" xfId="2" applyFont="1" applyBorder="1" applyAlignment="1">
      <alignment vertical="center" wrapText="1"/>
    </xf>
    <xf numFmtId="0" fontId="0" fillId="0" borderId="0" xfId="0"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0" fontId="3" fillId="0" borderId="1" xfId="3" applyNumberFormat="1" applyFont="1" applyFill="1" applyBorder="1" applyAlignment="1">
      <alignment horizontal="right" vertical="center" wrapText="1" indent="1"/>
    </xf>
    <xf numFmtId="0" fontId="6" fillId="0" borderId="1" xfId="3" applyNumberFormat="1" applyFont="1" applyFill="1" applyBorder="1" applyAlignment="1">
      <alignment horizontal="right" vertical="center" wrapText="1" indent="1"/>
    </xf>
    <xf numFmtId="167" fontId="0" fillId="0" borderId="0" xfId="0" applyNumberFormat="1"/>
    <xf numFmtId="0" fontId="10" fillId="0" borderId="0" xfId="0" applyFont="1" applyAlignment="1">
      <alignment vertical="center"/>
    </xf>
    <xf numFmtId="0" fontId="0" fillId="2" borderId="6" xfId="0" applyFill="1" applyBorder="1"/>
    <xf numFmtId="0" fontId="0" fillId="2" borderId="0" xfId="0" applyFill="1"/>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12" fillId="3" borderId="3" xfId="0" applyFont="1" applyFill="1"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0" xfId="0" applyFont="1" applyFill="1" applyAlignment="1">
      <alignment horizontal="center" vertical="center"/>
    </xf>
    <xf numFmtId="0" fontId="11" fillId="3" borderId="7" xfId="0" applyFont="1" applyFill="1" applyBorder="1" applyAlignment="1">
      <alignment horizontal="center" vertical="center"/>
    </xf>
  </cellXfs>
  <cellStyles count="6">
    <cellStyle name="Comma" xfId="1" builtinId="3"/>
    <cellStyle name="Comma 5" xfId="3" xr:uid="{44D26840-DFBD-4E59-97BB-83C83861F131}"/>
    <cellStyle name="Comma 5 2" xfId="5" xr:uid="{3D703D97-6FE9-4EAE-A44E-ED6D948A77B0}"/>
    <cellStyle name="Normal" xfId="0" builtinId="0"/>
    <cellStyle name="Normal 5" xfId="4" xr:uid="{7A86446E-0B69-4781-AD92-8F5697ABC5B6}"/>
    <cellStyle name="Normal_viii1" xfId="2" xr:uid="{5D13ABD8-EA5F-46FC-9E77-7C0CCA84DB67}"/>
  </cellStyles>
  <dxfs count="2">
    <dxf>
      <alignment horizontal="general"/>
    </dxf>
    <dxf>
      <numFmt numFmtId="167" formatCode="_-* #,##0_-;\-* #,##0_-;_-* &quot;-&quot;??_-;_-@_-"/>
    </dxf>
  </dxfs>
  <tableStyles count="0" defaultTableStyle="TableStyleMedium2" defaultPivotStyle="PivotStyleLight16"/>
  <colors>
    <mruColors>
      <color rgb="FF4F0BF9"/>
      <color rgb="FF7053FF"/>
      <color rgb="FF7E37FF"/>
      <color rgb="FF947FFF"/>
      <color rgb="FF9B95E9"/>
      <color rgb="FFCFC5FF"/>
      <color rgb="FF552579"/>
      <color rgb="FF735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[Dataset.xlsx]Chart 1!PivotTable2</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Revenue is </a:t>
            </a:r>
            <a:r>
              <a:rPr lang="en-US" baseline="0">
                <a:solidFill>
                  <a:schemeClr val="accent6"/>
                </a:solidFill>
              </a:rPr>
              <a:t>264,415 million </a:t>
            </a:r>
            <a:r>
              <a:rPr lang="en-US" baseline="0"/>
              <a:t>for 2019 and Lowest Revenue is </a:t>
            </a:r>
            <a:r>
              <a:rPr lang="en-US" baseline="0">
                <a:solidFill>
                  <a:srgbClr val="C00000"/>
                </a:solidFill>
              </a:rPr>
              <a:t>159,653 million</a:t>
            </a:r>
            <a:r>
              <a:rPr lang="en-US" baseline="0"/>
              <a:t> for 2010 </a:t>
            </a:r>
            <a:endParaRPr lang="en-US"/>
          </a:p>
        </c:rich>
      </c:tx>
      <c:layout>
        <c:manualLayout>
          <c:xMode val="edge"/>
          <c:yMode val="edge"/>
          <c:x val="1.3906785141577211E-2"/>
          <c:y val="2.777765306753244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75000"/>
            </a:schemeClr>
          </a:solidFill>
          <a:ln>
            <a:solidFill>
              <a:schemeClr val="bg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solidFill>
              <a:schemeClr val="accent6"/>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solidFill>
              <a:srgbClr val="C000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1'!$C$3</c:f>
              <c:strCache>
                <c:ptCount val="1"/>
                <c:pt idx="0">
                  <c:v>Total</c:v>
                </c:pt>
              </c:strCache>
            </c:strRef>
          </c:tx>
          <c:spPr>
            <a:solidFill>
              <a:schemeClr val="bg1">
                <a:lumMod val="75000"/>
              </a:schemeClr>
            </a:solidFill>
            <a:ln>
              <a:solidFill>
                <a:schemeClr val="bg1">
                  <a:lumMod val="75000"/>
                </a:schemeClr>
              </a:solidFill>
            </a:ln>
            <a:effectLst/>
          </c:spPr>
          <c:invertIfNegative val="0"/>
          <c:dPt>
            <c:idx val="0"/>
            <c:invertIfNegative val="0"/>
            <c:bubble3D val="0"/>
            <c:spPr>
              <a:solidFill>
                <a:srgbClr val="C00000"/>
              </a:solidFill>
              <a:ln>
                <a:solidFill>
                  <a:srgbClr val="C00000"/>
                </a:solidFill>
              </a:ln>
              <a:effectLst/>
            </c:spPr>
            <c:extLst>
              <c:ext xmlns:c16="http://schemas.microsoft.com/office/drawing/2014/chart" uri="{C3380CC4-5D6E-409C-BE32-E72D297353CC}">
                <c16:uniqueId val="{00000003-FF67-45EE-9486-F00689101610}"/>
              </c:ext>
            </c:extLst>
          </c:dPt>
          <c:dPt>
            <c:idx val="9"/>
            <c:invertIfNegative val="0"/>
            <c:bubble3D val="0"/>
            <c:spPr>
              <a:solidFill>
                <a:schemeClr val="accent6"/>
              </a:solidFill>
              <a:ln>
                <a:solidFill>
                  <a:schemeClr val="accent6"/>
                </a:solidFill>
              </a:ln>
              <a:effectLst/>
            </c:spPr>
            <c:extLst>
              <c:ext xmlns:c16="http://schemas.microsoft.com/office/drawing/2014/chart" uri="{C3380CC4-5D6E-409C-BE32-E72D297353CC}">
                <c16:uniqueId val="{00000002-FF67-45EE-9486-F00689101610}"/>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F67-45EE-9486-F00689101610}"/>
                </c:ext>
              </c:extLst>
            </c:dLbl>
            <c:dLbl>
              <c:idx val="9"/>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F67-45EE-9486-F006891016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1'!$B$4:$B$17</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'Chart 1'!$C$4:$C$17</c:f>
              <c:numCache>
                <c:formatCode>_(* #,##0_);_(* \(#,##0\);_(* "-"??_);_(@_)</c:formatCode>
                <c:ptCount val="13"/>
                <c:pt idx="0">
                  <c:v>159653</c:v>
                </c:pt>
                <c:pt idx="1">
                  <c:v>185419</c:v>
                </c:pt>
                <c:pt idx="2">
                  <c:v>207913</c:v>
                </c:pt>
                <c:pt idx="3">
                  <c:v>213370</c:v>
                </c:pt>
                <c:pt idx="4">
                  <c:v>220626</c:v>
                </c:pt>
                <c:pt idx="5">
                  <c:v>219089</c:v>
                </c:pt>
                <c:pt idx="6">
                  <c:v>212421</c:v>
                </c:pt>
                <c:pt idx="7">
                  <c:v>220406</c:v>
                </c:pt>
                <c:pt idx="8">
                  <c:v>232882</c:v>
                </c:pt>
                <c:pt idx="9">
                  <c:v>264415</c:v>
                </c:pt>
                <c:pt idx="10">
                  <c:v>225076</c:v>
                </c:pt>
                <c:pt idx="11">
                  <c:v>221023</c:v>
                </c:pt>
                <c:pt idx="12">
                  <c:v>234011</c:v>
                </c:pt>
              </c:numCache>
            </c:numRef>
          </c:val>
          <c:extLst>
            <c:ext xmlns:c16="http://schemas.microsoft.com/office/drawing/2014/chart" uri="{C3380CC4-5D6E-409C-BE32-E72D297353CC}">
              <c16:uniqueId val="{00000000-FF67-45EE-9486-F00689101610}"/>
            </c:ext>
          </c:extLst>
        </c:ser>
        <c:dLbls>
          <c:showLegendKey val="0"/>
          <c:showVal val="0"/>
          <c:showCatName val="0"/>
          <c:showSerName val="0"/>
          <c:showPercent val="0"/>
          <c:showBubbleSize val="0"/>
        </c:dLbls>
        <c:gapWidth val="58"/>
        <c:overlap val="-5"/>
        <c:axId val="263252752"/>
        <c:axId val="42351248"/>
      </c:barChart>
      <c:catAx>
        <c:axId val="2632527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51248"/>
        <c:crosses val="autoZero"/>
        <c:auto val="1"/>
        <c:lblAlgn val="ctr"/>
        <c:lblOffset val="100"/>
        <c:noMultiLvlLbl val="0"/>
      </c:catAx>
      <c:valAx>
        <c:axId val="42351248"/>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Total</a:t>
                </a:r>
                <a:r>
                  <a:rPr lang="en-MY" baseline="0"/>
                  <a:t> Revenue (Million)</a:t>
                </a:r>
                <a:endParaRPr lang="en-MY"/>
              </a:p>
            </c:rich>
          </c:tx>
          <c:layout>
            <c:manualLayout>
              <c:xMode val="edge"/>
              <c:yMode val="edge"/>
              <c:x val="5.5555555555555558E-3"/>
              <c:y val="0.337955307669874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_(* #,##0_);_(* \(#,##0\);_(* &quot;-&quot;??_);_(@_)" sourceLinked="1"/>
        <c:majorTickMark val="out"/>
        <c:minorTickMark val="none"/>
        <c:tickLblPos val="nextTo"/>
        <c:crossAx val="263252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[Dataset.xlsx]Chart 2!PivotTable1</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MY"/>
              <a:t>The</a:t>
            </a:r>
            <a:r>
              <a:rPr lang="en-MY" baseline="0"/>
              <a:t> </a:t>
            </a:r>
            <a:r>
              <a:rPr lang="en-MY" baseline="0">
                <a:solidFill>
                  <a:schemeClr val="accent2"/>
                </a:solidFill>
              </a:rPr>
              <a:t>Highest Operating Expenditure on 2019 is 263,343 million </a:t>
            </a:r>
            <a:r>
              <a:rPr lang="en-MY" baseline="0"/>
              <a:t>and </a:t>
            </a:r>
            <a:r>
              <a:rPr lang="en-MY" baseline="0">
                <a:solidFill>
                  <a:srgbClr val="C00000"/>
                </a:solidFill>
              </a:rPr>
              <a:t>Highest Gross Development Expenditure on 2022 is 75,600 million</a:t>
            </a:r>
            <a:endParaRPr lang="en-MY">
              <a:solidFill>
                <a:srgbClr val="C00000"/>
              </a:solidFill>
            </a:endParaRPr>
          </a:p>
        </c:rich>
      </c:tx>
      <c:layout>
        <c:manualLayout>
          <c:xMode val="edge"/>
          <c:yMode val="edge"/>
          <c:x val="1.2815743989116338E-2"/>
          <c:y val="1.9914638853774019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marker>
          <c:symbol val="circle"/>
          <c:size val="5"/>
          <c:spPr>
            <a:solidFill>
              <a:srgbClr val="C00000"/>
            </a:solidFill>
            <a:ln w="9525">
              <a:solidFill>
                <a:schemeClr val="accent1"/>
              </a:solidFill>
            </a:ln>
            <a:effectLst/>
          </c:spPr>
        </c:marker>
      </c:pivotFmt>
      <c:pivotFmt>
        <c:idx val="3"/>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circle"/>
          <c:size val="5"/>
          <c:spPr>
            <a:solidFill>
              <a:srgbClr val="C00000"/>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065291815078045E-2"/>
          <c:y val="0.16625404336425678"/>
          <c:w val="0.82970787026388715"/>
          <c:h val="0.7570139645524655"/>
        </c:manualLayout>
      </c:layout>
      <c:lineChart>
        <c:grouping val="standard"/>
        <c:varyColors val="0"/>
        <c:ser>
          <c:idx val="0"/>
          <c:order val="0"/>
          <c:tx>
            <c:strRef>
              <c:f>'Chart 2'!$C$3</c:f>
              <c:strCache>
                <c:ptCount val="1"/>
                <c:pt idx="0">
                  <c:v>Sum of Gross Development Expenditure</c:v>
                </c:pt>
              </c:strCache>
            </c:strRef>
          </c:tx>
          <c:spPr>
            <a:ln w="28575" cap="rnd">
              <a:solidFill>
                <a:srgbClr val="C00000"/>
              </a:solidFill>
              <a:round/>
            </a:ln>
            <a:effectLst/>
          </c:spPr>
          <c:marker>
            <c:symbol val="none"/>
          </c:marker>
          <c:dPt>
            <c:idx val="12"/>
            <c:marker>
              <c:symbol val="circle"/>
              <c:size val="5"/>
              <c:spPr>
                <a:solidFill>
                  <a:srgbClr val="C00000"/>
                </a:solidFill>
                <a:ln w="9525">
                  <a:solidFill>
                    <a:srgbClr val="C00000"/>
                  </a:solidFill>
                </a:ln>
                <a:effectLst/>
              </c:spPr>
            </c:marker>
            <c:bubble3D val="0"/>
            <c:spPr>
              <a:ln w="28575" cap="rnd">
                <a:solidFill>
                  <a:srgbClr val="C00000"/>
                </a:solidFill>
                <a:round/>
              </a:ln>
              <a:effectLst/>
            </c:spPr>
            <c:extLst>
              <c:ext xmlns:c16="http://schemas.microsoft.com/office/drawing/2014/chart" uri="{C3380CC4-5D6E-409C-BE32-E72D297353CC}">
                <c16:uniqueId val="{00000008-0F13-4902-9497-8F2DACF3F1AF}"/>
              </c:ext>
            </c:extLst>
          </c:dPt>
          <c:dLbls>
            <c:dLbl>
              <c:idx val="1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F13-4902-9497-8F2DACF3F1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2'!$B$4:$B$17</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'Chart 2'!$C$4:$C$17</c:f>
              <c:numCache>
                <c:formatCode>_(* #,##0_);_(* \(#,##0\);_(* "-"??_);_(@_)</c:formatCode>
                <c:ptCount val="13"/>
                <c:pt idx="0">
                  <c:v>52792</c:v>
                </c:pt>
                <c:pt idx="1">
                  <c:v>46416</c:v>
                </c:pt>
                <c:pt idx="2">
                  <c:v>46932</c:v>
                </c:pt>
                <c:pt idx="3">
                  <c:v>42210</c:v>
                </c:pt>
                <c:pt idx="4">
                  <c:v>39503</c:v>
                </c:pt>
                <c:pt idx="5">
                  <c:v>40768</c:v>
                </c:pt>
                <c:pt idx="6">
                  <c:v>41995</c:v>
                </c:pt>
                <c:pt idx="7">
                  <c:v>44884</c:v>
                </c:pt>
                <c:pt idx="8">
                  <c:v>56095</c:v>
                </c:pt>
                <c:pt idx="9">
                  <c:v>54173</c:v>
                </c:pt>
                <c:pt idx="10">
                  <c:v>51360</c:v>
                </c:pt>
                <c:pt idx="11">
                  <c:v>62000</c:v>
                </c:pt>
                <c:pt idx="12">
                  <c:v>75600</c:v>
                </c:pt>
              </c:numCache>
            </c:numRef>
          </c:val>
          <c:smooth val="0"/>
          <c:extLst>
            <c:ext xmlns:c16="http://schemas.microsoft.com/office/drawing/2014/chart" uri="{C3380CC4-5D6E-409C-BE32-E72D297353CC}">
              <c16:uniqueId val="{00000000-0F13-4902-9497-8F2DACF3F1AF}"/>
            </c:ext>
          </c:extLst>
        </c:ser>
        <c:ser>
          <c:idx val="1"/>
          <c:order val="1"/>
          <c:tx>
            <c:strRef>
              <c:f>'Chart 2'!$D$3</c:f>
              <c:strCache>
                <c:ptCount val="1"/>
                <c:pt idx="0">
                  <c:v>Sum of Operating Expenditure</c:v>
                </c:pt>
              </c:strCache>
            </c:strRef>
          </c:tx>
          <c:spPr>
            <a:ln w="28575" cap="rnd">
              <a:solidFill>
                <a:schemeClr val="accent2"/>
              </a:solidFill>
              <a:round/>
            </a:ln>
            <a:effectLst/>
          </c:spPr>
          <c:marker>
            <c:symbol val="none"/>
          </c:marker>
          <c:dPt>
            <c:idx val="9"/>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7-0F13-4902-9497-8F2DACF3F1AF}"/>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F13-4902-9497-8F2DACF3F1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2'!$B$4:$B$17</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'Chart 2'!$D$4:$D$17</c:f>
              <c:numCache>
                <c:formatCode>_(* #,##0_);_(* \(#,##0\);_(* "-"??_);_(@_)</c:formatCode>
                <c:ptCount val="13"/>
                <c:pt idx="0">
                  <c:v>151633</c:v>
                </c:pt>
                <c:pt idx="1">
                  <c:v>182593</c:v>
                </c:pt>
                <c:pt idx="2">
                  <c:v>205537</c:v>
                </c:pt>
                <c:pt idx="3">
                  <c:v>211270</c:v>
                </c:pt>
                <c:pt idx="4">
                  <c:v>219589</c:v>
                </c:pt>
                <c:pt idx="5">
                  <c:v>216998</c:v>
                </c:pt>
                <c:pt idx="6">
                  <c:v>210173</c:v>
                </c:pt>
                <c:pt idx="7">
                  <c:v>217695</c:v>
                </c:pt>
                <c:pt idx="8">
                  <c:v>230960</c:v>
                </c:pt>
                <c:pt idx="9">
                  <c:v>263343</c:v>
                </c:pt>
                <c:pt idx="10">
                  <c:v>224600</c:v>
                </c:pt>
                <c:pt idx="11">
                  <c:v>219600</c:v>
                </c:pt>
                <c:pt idx="12">
                  <c:v>233500</c:v>
                </c:pt>
              </c:numCache>
            </c:numRef>
          </c:val>
          <c:smooth val="0"/>
          <c:extLst>
            <c:ext xmlns:c16="http://schemas.microsoft.com/office/drawing/2014/chart" uri="{C3380CC4-5D6E-409C-BE32-E72D297353CC}">
              <c16:uniqueId val="{00000001-0F13-4902-9497-8F2DACF3F1AF}"/>
            </c:ext>
          </c:extLst>
        </c:ser>
        <c:dLbls>
          <c:showLegendKey val="0"/>
          <c:showVal val="0"/>
          <c:showCatName val="0"/>
          <c:showSerName val="0"/>
          <c:showPercent val="0"/>
          <c:showBubbleSize val="0"/>
        </c:dLbls>
        <c:smooth val="0"/>
        <c:axId val="1576607376"/>
        <c:axId val="1576608816"/>
      </c:lineChart>
      <c:catAx>
        <c:axId val="157660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608816"/>
        <c:crosses val="autoZero"/>
        <c:auto val="1"/>
        <c:lblAlgn val="ctr"/>
        <c:lblOffset val="100"/>
        <c:noMultiLvlLbl val="0"/>
      </c:catAx>
      <c:valAx>
        <c:axId val="1576608816"/>
        <c:scaling>
          <c:orientation val="minMax"/>
        </c:scaling>
        <c:delete val="0"/>
        <c:axPos val="l"/>
        <c:numFmt formatCode="#,##0" sourceLinked="0"/>
        <c:majorTickMark val="none"/>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60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[Dataset.xlsx]Chart 3!PivotTable11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kern="1200" spc="0" baseline="0">
                <a:solidFill>
                  <a:schemeClr val="accent2"/>
                </a:solidFill>
              </a:rPr>
              <a:t>The Operating Expenditure for year 2019 </a:t>
            </a:r>
            <a:endParaRPr lang="en-US" sz="1400"/>
          </a:p>
        </c:rich>
      </c:tx>
      <c:layout>
        <c:manualLayout>
          <c:xMode val="edge"/>
          <c:yMode val="edge"/>
          <c:x val="1.7948591675839284E-2"/>
          <c:y val="2.28758071827632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pivotFmt>
    </c:pivotFmts>
    <c:plotArea>
      <c:layout/>
      <c:barChart>
        <c:barDir val="bar"/>
        <c:grouping val="clustered"/>
        <c:varyColors val="0"/>
        <c:ser>
          <c:idx val="0"/>
          <c:order val="0"/>
          <c:tx>
            <c:strRef>
              <c:f>'Chart 3'!$C$3:$C$4</c:f>
              <c:strCache>
                <c:ptCount val="1"/>
                <c:pt idx="0">
                  <c:v>2019</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3'!$B$5:$B$12</c:f>
              <c:strCache>
                <c:ptCount val="8"/>
                <c:pt idx="0">
                  <c:v> Asset 
acquisition</c:v>
                </c:pt>
                <c:pt idx="1">
                  <c:v> Grants and transfers</c:v>
                </c:pt>
                <c:pt idx="2">
                  <c:v> Subsidies</c:v>
                </c:pt>
                <c:pt idx="3">
                  <c:v> Pension and gratuities</c:v>
                </c:pt>
                <c:pt idx="4">
                  <c:v> Supplies and services</c:v>
                </c:pt>
                <c:pt idx="5">
                  <c:v> Debt service </c:v>
                </c:pt>
                <c:pt idx="6">
                  <c:v> Other expenditure</c:v>
                </c:pt>
                <c:pt idx="7">
                  <c:v> Emoluments</c:v>
                </c:pt>
              </c:strCache>
            </c:strRef>
          </c:cat>
          <c:val>
            <c:numRef>
              <c:f>'Chart 3'!$C$5:$C$12</c:f>
              <c:numCache>
                <c:formatCode>General</c:formatCode>
                <c:ptCount val="8"/>
                <c:pt idx="0">
                  <c:v>770</c:v>
                </c:pt>
                <c:pt idx="1">
                  <c:v>21354</c:v>
                </c:pt>
                <c:pt idx="2">
                  <c:v>23901</c:v>
                </c:pt>
                <c:pt idx="3">
                  <c:v>25894</c:v>
                </c:pt>
                <c:pt idx="4">
                  <c:v>31507</c:v>
                </c:pt>
                <c:pt idx="5">
                  <c:v>32933</c:v>
                </c:pt>
                <c:pt idx="6">
                  <c:v>46450</c:v>
                </c:pt>
                <c:pt idx="7">
                  <c:v>80534</c:v>
                </c:pt>
              </c:numCache>
            </c:numRef>
          </c:val>
          <c:extLst>
            <c:ext xmlns:c16="http://schemas.microsoft.com/office/drawing/2014/chart" uri="{C3380CC4-5D6E-409C-BE32-E72D297353CC}">
              <c16:uniqueId val="{00000000-5F70-4D5F-91A6-AF3BB46A70A0}"/>
            </c:ext>
          </c:extLst>
        </c:ser>
        <c:dLbls>
          <c:dLblPos val="outEnd"/>
          <c:showLegendKey val="0"/>
          <c:showVal val="1"/>
          <c:showCatName val="0"/>
          <c:showSerName val="0"/>
          <c:showPercent val="0"/>
          <c:showBubbleSize val="0"/>
        </c:dLbls>
        <c:gapWidth val="182"/>
        <c:axId val="499554416"/>
        <c:axId val="499554896"/>
      </c:barChart>
      <c:catAx>
        <c:axId val="49955441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54896"/>
        <c:crosses val="autoZero"/>
        <c:auto val="1"/>
        <c:lblAlgn val="ctr"/>
        <c:lblOffset val="100"/>
        <c:noMultiLvlLbl val="0"/>
      </c:catAx>
      <c:valAx>
        <c:axId val="499554896"/>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Total</a:t>
                </a:r>
                <a:r>
                  <a:rPr lang="en-MY" baseline="0"/>
                  <a:t> Operating Expenditure</a:t>
                </a:r>
                <a:endParaRPr lang="en-MY"/>
              </a:p>
            </c:rich>
          </c:tx>
          <c:layout>
            <c:manualLayout>
              <c:xMode val="edge"/>
              <c:yMode val="edge"/>
              <c:x val="0.20083942915655043"/>
              <c:y val="0.911527665616941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General" sourceLinked="1"/>
        <c:majorTickMark val="none"/>
        <c:minorTickMark val="none"/>
        <c:tickLblPos val="nextTo"/>
        <c:crossAx val="499554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[Dataset.xlsx]Chart 4!PivotTable12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kern="1200" spc="0" baseline="0">
                <a:solidFill>
                  <a:srgbClr val="C00000"/>
                </a:solidFill>
              </a:rPr>
              <a:t>Gross Development Expenditure on 2022 </a:t>
            </a:r>
            <a:endParaRPr lang="en-US" sz="1400"/>
          </a:p>
        </c:rich>
      </c:tx>
      <c:layout>
        <c:manualLayout>
          <c:xMode val="edge"/>
          <c:yMode val="edge"/>
          <c:x val="1.0074829401614858E-2"/>
          <c:y val="1.91518495358315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4'!$C$3:$C$4</c:f>
              <c:strCache>
                <c:ptCount val="1"/>
                <c:pt idx="0">
                  <c:v>2022</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4'!$B$5:$B$15</c:f>
              <c:strCache>
                <c:ptCount val="11"/>
                <c:pt idx="0">
                  <c:v> Housing</c:v>
                </c:pt>
                <c:pt idx="1">
                  <c:v> Trade and industry              </c:v>
                </c:pt>
                <c:pt idx="2">
                  <c:v> Agriculture 
and rural development</c:v>
                </c:pt>
                <c:pt idx="3">
                  <c:v> Energy and public utilities</c:v>
                </c:pt>
                <c:pt idx="4">
                  <c:v> General administration</c:v>
                </c:pt>
                <c:pt idx="5">
                  <c:v> Health</c:v>
                </c:pt>
                <c:pt idx="6">
                  <c:v> Social and community services</c:v>
                </c:pt>
                <c:pt idx="7">
                  <c:v> Defence and security</c:v>
                </c:pt>
                <c:pt idx="8">
                  <c:v> Education</c:v>
                </c:pt>
                <c:pt idx="9">
                  <c:v> Transport</c:v>
                </c:pt>
                <c:pt idx="10">
                  <c:v> Others</c:v>
                </c:pt>
              </c:strCache>
            </c:strRef>
          </c:cat>
          <c:val>
            <c:numRef>
              <c:f>'Chart 4'!$C$5:$C$15</c:f>
              <c:numCache>
                <c:formatCode>_-* #,##0_-;\-* #,##0_-;_-* "-"??_-;_-@_-</c:formatCode>
                <c:ptCount val="11"/>
                <c:pt idx="0">
                  <c:v>1771</c:v>
                </c:pt>
                <c:pt idx="1">
                  <c:v>2087</c:v>
                </c:pt>
                <c:pt idx="2">
                  <c:v>2860</c:v>
                </c:pt>
                <c:pt idx="3">
                  <c:v>3167</c:v>
                </c:pt>
                <c:pt idx="4">
                  <c:v>3754</c:v>
                </c:pt>
                <c:pt idx="5">
                  <c:v>4457</c:v>
                </c:pt>
                <c:pt idx="6">
                  <c:v>4488</c:v>
                </c:pt>
                <c:pt idx="7">
                  <c:v>8970</c:v>
                </c:pt>
                <c:pt idx="8">
                  <c:v>11955</c:v>
                </c:pt>
                <c:pt idx="9">
                  <c:v>15509</c:v>
                </c:pt>
                <c:pt idx="10">
                  <c:v>16582</c:v>
                </c:pt>
              </c:numCache>
            </c:numRef>
          </c:val>
          <c:extLst>
            <c:ext xmlns:c16="http://schemas.microsoft.com/office/drawing/2014/chart" uri="{C3380CC4-5D6E-409C-BE32-E72D297353CC}">
              <c16:uniqueId val="{00000000-C67A-49C8-883B-A6D8C8EEAFEB}"/>
            </c:ext>
          </c:extLst>
        </c:ser>
        <c:dLbls>
          <c:showLegendKey val="0"/>
          <c:showVal val="0"/>
          <c:showCatName val="0"/>
          <c:showSerName val="0"/>
          <c:showPercent val="0"/>
          <c:showBubbleSize val="0"/>
        </c:dLbls>
        <c:gapWidth val="182"/>
        <c:axId val="276779232"/>
        <c:axId val="276785472"/>
      </c:barChart>
      <c:catAx>
        <c:axId val="276779232"/>
        <c:scaling>
          <c:orientation val="minMax"/>
        </c:scaling>
        <c:delete val="0"/>
        <c:axPos val="l"/>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276785472"/>
        <c:crosses val="autoZero"/>
        <c:auto val="1"/>
        <c:lblAlgn val="ctr"/>
        <c:lblOffset val="10"/>
        <c:noMultiLvlLbl val="0"/>
      </c:catAx>
      <c:valAx>
        <c:axId val="27678547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Total</a:t>
                </a:r>
                <a:r>
                  <a:rPr lang="en-MY" baseline="0"/>
                  <a:t> Development Expenditure</a:t>
                </a:r>
                <a:endParaRPr lang="en-MY"/>
              </a:p>
            </c:rich>
          </c:tx>
          <c:layout>
            <c:manualLayout>
              <c:xMode val="edge"/>
              <c:yMode val="edge"/>
              <c:x val="0.19755069986591861"/>
              <c:y val="0.9275012300284596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_-* #,##0_-;\-* #,##0_-;_-* &quot;-&quot;??_-;_-@_-" sourceLinked="1"/>
        <c:majorTickMark val="none"/>
        <c:minorTickMark val="none"/>
        <c:tickLblPos val="nextTo"/>
        <c:crossAx val="276779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[Dataset.xlsx]Chart 2!PivotTable1</c:name>
    <c:fmtId val="7"/>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MY"/>
              <a:t>The</a:t>
            </a:r>
            <a:r>
              <a:rPr lang="en-MY" baseline="0"/>
              <a:t> </a:t>
            </a:r>
            <a:r>
              <a:rPr lang="en-MY" baseline="0">
                <a:solidFill>
                  <a:schemeClr val="accent2"/>
                </a:solidFill>
              </a:rPr>
              <a:t>Highest Operating Expenditure on 2019 </a:t>
            </a:r>
            <a:r>
              <a:rPr lang="en-MY" baseline="0"/>
              <a:t>and </a:t>
            </a:r>
            <a:r>
              <a:rPr lang="en-MY" baseline="0">
                <a:solidFill>
                  <a:srgbClr val="C00000"/>
                </a:solidFill>
              </a:rPr>
              <a:t>Highest Gross Development Expenditure on 2022  </a:t>
            </a:r>
            <a:endParaRPr lang="en-MY">
              <a:solidFill>
                <a:srgbClr val="C00000"/>
              </a:solidFill>
            </a:endParaRPr>
          </a:p>
        </c:rich>
      </c:tx>
      <c:layout>
        <c:manualLayout>
          <c:xMode val="edge"/>
          <c:yMode val="edge"/>
          <c:x val="7.3992454776187878E-5"/>
          <c:y val="0"/>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marker>
          <c:symbol val="circle"/>
          <c:size val="5"/>
          <c:spPr>
            <a:solidFill>
              <a:srgbClr val="C00000"/>
            </a:solidFill>
            <a:ln w="9525">
              <a:solidFill>
                <a:schemeClr val="accent1"/>
              </a:solidFill>
            </a:ln>
            <a:effectLst/>
          </c:spPr>
        </c:marker>
      </c:pivotFmt>
      <c:pivotFmt>
        <c:idx val="3"/>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00000"/>
            </a:solidFill>
            <a:round/>
          </a:ln>
          <a:effectLst/>
        </c:spPr>
        <c:marker>
          <c:symbol val="circle"/>
          <c:size val="5"/>
          <c:spPr>
            <a:solidFill>
              <a:srgbClr val="C00000"/>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C00000"/>
            </a:solidFill>
            <a:round/>
          </a:ln>
          <a:effectLst/>
        </c:spPr>
        <c:marker>
          <c:symbol val="circle"/>
          <c:size val="5"/>
          <c:spPr>
            <a:solidFill>
              <a:srgbClr val="C00000"/>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C00000"/>
            </a:solidFill>
            <a:round/>
          </a:ln>
          <a:effectLst/>
        </c:spPr>
        <c:marker>
          <c:symbol val="circle"/>
          <c:size val="5"/>
          <c:spPr>
            <a:solidFill>
              <a:srgbClr val="C00000"/>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065291815078045E-2"/>
          <c:y val="0.15332107750474996"/>
          <c:w val="0.77825176959976961"/>
          <c:h val="0.76994709932236516"/>
        </c:manualLayout>
      </c:layout>
      <c:lineChart>
        <c:grouping val="standard"/>
        <c:varyColors val="0"/>
        <c:ser>
          <c:idx val="0"/>
          <c:order val="0"/>
          <c:tx>
            <c:strRef>
              <c:f>'Chart 2'!$C$3</c:f>
              <c:strCache>
                <c:ptCount val="1"/>
                <c:pt idx="0">
                  <c:v>Sum of Gross Development Expenditure</c:v>
                </c:pt>
              </c:strCache>
            </c:strRef>
          </c:tx>
          <c:spPr>
            <a:ln w="28575" cap="rnd">
              <a:solidFill>
                <a:srgbClr val="C00000"/>
              </a:solidFill>
              <a:round/>
            </a:ln>
            <a:effectLst/>
          </c:spPr>
          <c:marker>
            <c:symbol val="none"/>
          </c:marker>
          <c:dPt>
            <c:idx val="12"/>
            <c:marker>
              <c:symbol val="circle"/>
              <c:size val="5"/>
              <c:spPr>
                <a:solidFill>
                  <a:srgbClr val="C00000"/>
                </a:solidFill>
                <a:ln w="9525">
                  <a:solidFill>
                    <a:srgbClr val="C00000"/>
                  </a:solidFill>
                </a:ln>
                <a:effectLst/>
              </c:spPr>
            </c:marker>
            <c:bubble3D val="0"/>
            <c:spPr>
              <a:ln w="28575" cap="rnd">
                <a:solidFill>
                  <a:srgbClr val="C00000"/>
                </a:solidFill>
                <a:round/>
              </a:ln>
              <a:effectLst/>
            </c:spPr>
            <c:extLst>
              <c:ext xmlns:c16="http://schemas.microsoft.com/office/drawing/2014/chart" uri="{C3380CC4-5D6E-409C-BE32-E72D297353CC}">
                <c16:uniqueId val="{00000000-7A55-4C4F-9B84-E8D8DEB828A1}"/>
              </c:ext>
            </c:extLst>
          </c:dPt>
          <c:dLbls>
            <c:dLbl>
              <c:idx val="1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A55-4C4F-9B84-E8D8DEB828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2'!$B$4:$B$17</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'Chart 2'!$C$4:$C$17</c:f>
              <c:numCache>
                <c:formatCode>_(* #,##0_);_(* \(#,##0\);_(* "-"??_);_(@_)</c:formatCode>
                <c:ptCount val="13"/>
                <c:pt idx="0">
                  <c:v>52792</c:v>
                </c:pt>
                <c:pt idx="1">
                  <c:v>46416</c:v>
                </c:pt>
                <c:pt idx="2">
                  <c:v>46932</c:v>
                </c:pt>
                <c:pt idx="3">
                  <c:v>42210</c:v>
                </c:pt>
                <c:pt idx="4">
                  <c:v>39503</c:v>
                </c:pt>
                <c:pt idx="5">
                  <c:v>40768</c:v>
                </c:pt>
                <c:pt idx="6">
                  <c:v>41995</c:v>
                </c:pt>
                <c:pt idx="7">
                  <c:v>44884</c:v>
                </c:pt>
                <c:pt idx="8">
                  <c:v>56095</c:v>
                </c:pt>
                <c:pt idx="9">
                  <c:v>54173</c:v>
                </c:pt>
                <c:pt idx="10">
                  <c:v>51360</c:v>
                </c:pt>
                <c:pt idx="11">
                  <c:v>62000</c:v>
                </c:pt>
                <c:pt idx="12">
                  <c:v>75600</c:v>
                </c:pt>
              </c:numCache>
            </c:numRef>
          </c:val>
          <c:smooth val="0"/>
          <c:extLst>
            <c:ext xmlns:c16="http://schemas.microsoft.com/office/drawing/2014/chart" uri="{C3380CC4-5D6E-409C-BE32-E72D297353CC}">
              <c16:uniqueId val="{00000001-7A55-4C4F-9B84-E8D8DEB828A1}"/>
            </c:ext>
          </c:extLst>
        </c:ser>
        <c:ser>
          <c:idx val="1"/>
          <c:order val="1"/>
          <c:tx>
            <c:strRef>
              <c:f>'Chart 2'!$D$3</c:f>
              <c:strCache>
                <c:ptCount val="1"/>
                <c:pt idx="0">
                  <c:v>Sum of Operating Expenditure</c:v>
                </c:pt>
              </c:strCache>
            </c:strRef>
          </c:tx>
          <c:spPr>
            <a:ln w="28575" cap="rnd">
              <a:solidFill>
                <a:schemeClr val="accent2"/>
              </a:solidFill>
              <a:round/>
            </a:ln>
            <a:effectLst/>
          </c:spPr>
          <c:marker>
            <c:symbol val="none"/>
          </c:marker>
          <c:dPt>
            <c:idx val="9"/>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2-7A55-4C4F-9B84-E8D8DEB828A1}"/>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A55-4C4F-9B84-E8D8DEB828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2'!$B$4:$B$17</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'Chart 2'!$D$4:$D$17</c:f>
              <c:numCache>
                <c:formatCode>_(* #,##0_);_(* \(#,##0\);_(* "-"??_);_(@_)</c:formatCode>
                <c:ptCount val="13"/>
                <c:pt idx="0">
                  <c:v>151633</c:v>
                </c:pt>
                <c:pt idx="1">
                  <c:v>182593</c:v>
                </c:pt>
                <c:pt idx="2">
                  <c:v>205537</c:v>
                </c:pt>
                <c:pt idx="3">
                  <c:v>211270</c:v>
                </c:pt>
                <c:pt idx="4">
                  <c:v>219589</c:v>
                </c:pt>
                <c:pt idx="5">
                  <c:v>216998</c:v>
                </c:pt>
                <c:pt idx="6">
                  <c:v>210173</c:v>
                </c:pt>
                <c:pt idx="7">
                  <c:v>217695</c:v>
                </c:pt>
                <c:pt idx="8">
                  <c:v>230960</c:v>
                </c:pt>
                <c:pt idx="9">
                  <c:v>263343</c:v>
                </c:pt>
                <c:pt idx="10">
                  <c:v>224600</c:v>
                </c:pt>
                <c:pt idx="11">
                  <c:v>219600</c:v>
                </c:pt>
                <c:pt idx="12">
                  <c:v>233500</c:v>
                </c:pt>
              </c:numCache>
            </c:numRef>
          </c:val>
          <c:smooth val="0"/>
          <c:extLst>
            <c:ext xmlns:c16="http://schemas.microsoft.com/office/drawing/2014/chart" uri="{C3380CC4-5D6E-409C-BE32-E72D297353CC}">
              <c16:uniqueId val="{00000003-7A55-4C4F-9B84-E8D8DEB828A1}"/>
            </c:ext>
          </c:extLst>
        </c:ser>
        <c:dLbls>
          <c:showLegendKey val="0"/>
          <c:showVal val="0"/>
          <c:showCatName val="0"/>
          <c:showSerName val="0"/>
          <c:showPercent val="0"/>
          <c:showBubbleSize val="0"/>
        </c:dLbls>
        <c:smooth val="0"/>
        <c:axId val="1576607376"/>
        <c:axId val="1576608816"/>
      </c:lineChart>
      <c:catAx>
        <c:axId val="157660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608816"/>
        <c:crosses val="autoZero"/>
        <c:auto val="1"/>
        <c:lblAlgn val="ctr"/>
        <c:lblOffset val="100"/>
        <c:noMultiLvlLbl val="0"/>
      </c:catAx>
      <c:valAx>
        <c:axId val="1576608816"/>
        <c:scaling>
          <c:orientation val="minMax"/>
        </c:scaling>
        <c:delete val="0"/>
        <c:axPos val="l"/>
        <c:numFmt formatCode="#,##0" sourceLinked="0"/>
        <c:majorTickMark val="none"/>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60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[Dataset.xlsx]Chart 3!PivotTable11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kern="1200" spc="0" baseline="0">
                <a:solidFill>
                  <a:schemeClr val="accent2"/>
                </a:solidFill>
              </a:rPr>
              <a:t>The Operating Expenditure for year 2019 </a:t>
            </a:r>
            <a:endParaRPr lang="en-US" sz="1400"/>
          </a:p>
        </c:rich>
      </c:tx>
      <c:layout>
        <c:manualLayout>
          <c:xMode val="edge"/>
          <c:yMode val="edge"/>
          <c:x val="1.7948591675839284E-2"/>
          <c:y val="2.28758071827632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pivotFmt>
      <c:pivotFmt>
        <c:idx val="17"/>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3'!$C$3:$C$4</c:f>
              <c:strCache>
                <c:ptCount val="1"/>
                <c:pt idx="0">
                  <c:v>2019</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3'!$B$5:$B$12</c:f>
              <c:strCache>
                <c:ptCount val="8"/>
                <c:pt idx="0">
                  <c:v> Asset 
acquisition</c:v>
                </c:pt>
                <c:pt idx="1">
                  <c:v> Grants and transfers</c:v>
                </c:pt>
                <c:pt idx="2">
                  <c:v> Subsidies</c:v>
                </c:pt>
                <c:pt idx="3">
                  <c:v> Pension and gratuities</c:v>
                </c:pt>
                <c:pt idx="4">
                  <c:v> Supplies and services</c:v>
                </c:pt>
                <c:pt idx="5">
                  <c:v> Debt service </c:v>
                </c:pt>
                <c:pt idx="6">
                  <c:v> Other expenditure</c:v>
                </c:pt>
                <c:pt idx="7">
                  <c:v> Emoluments</c:v>
                </c:pt>
              </c:strCache>
            </c:strRef>
          </c:cat>
          <c:val>
            <c:numRef>
              <c:f>'Chart 3'!$C$5:$C$12</c:f>
              <c:numCache>
                <c:formatCode>General</c:formatCode>
                <c:ptCount val="8"/>
                <c:pt idx="0">
                  <c:v>770</c:v>
                </c:pt>
                <c:pt idx="1">
                  <c:v>21354</c:v>
                </c:pt>
                <c:pt idx="2">
                  <c:v>23901</c:v>
                </c:pt>
                <c:pt idx="3">
                  <c:v>25894</c:v>
                </c:pt>
                <c:pt idx="4">
                  <c:v>31507</c:v>
                </c:pt>
                <c:pt idx="5">
                  <c:v>32933</c:v>
                </c:pt>
                <c:pt idx="6">
                  <c:v>46450</c:v>
                </c:pt>
                <c:pt idx="7">
                  <c:v>80534</c:v>
                </c:pt>
              </c:numCache>
            </c:numRef>
          </c:val>
          <c:extLst>
            <c:ext xmlns:c16="http://schemas.microsoft.com/office/drawing/2014/chart" uri="{C3380CC4-5D6E-409C-BE32-E72D297353CC}">
              <c16:uniqueId val="{00000000-BE60-41EF-9778-22CC9AB038F9}"/>
            </c:ext>
          </c:extLst>
        </c:ser>
        <c:dLbls>
          <c:dLblPos val="outEnd"/>
          <c:showLegendKey val="0"/>
          <c:showVal val="1"/>
          <c:showCatName val="0"/>
          <c:showSerName val="0"/>
          <c:showPercent val="0"/>
          <c:showBubbleSize val="0"/>
        </c:dLbls>
        <c:gapWidth val="182"/>
        <c:axId val="499554416"/>
        <c:axId val="499554896"/>
      </c:barChart>
      <c:catAx>
        <c:axId val="49955441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54896"/>
        <c:crosses val="autoZero"/>
        <c:auto val="1"/>
        <c:lblAlgn val="ctr"/>
        <c:lblOffset val="100"/>
        <c:noMultiLvlLbl val="0"/>
      </c:catAx>
      <c:valAx>
        <c:axId val="499554896"/>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Total</a:t>
                </a:r>
                <a:r>
                  <a:rPr lang="en-MY" baseline="0"/>
                  <a:t> Operating Expenditure</a:t>
                </a:r>
                <a:endParaRPr lang="en-MY"/>
              </a:p>
            </c:rich>
          </c:tx>
          <c:layout>
            <c:manualLayout>
              <c:xMode val="edge"/>
              <c:yMode val="edge"/>
              <c:x val="0.18697409495319872"/>
              <c:y val="0.9179882586017403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General" sourceLinked="1"/>
        <c:majorTickMark val="none"/>
        <c:minorTickMark val="none"/>
        <c:tickLblPos val="nextTo"/>
        <c:crossAx val="499554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[Dataset.xlsx]Chart 4!PivotTable12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kern="1200" spc="0" baseline="0">
                <a:solidFill>
                  <a:srgbClr val="C00000"/>
                </a:solidFill>
              </a:rPr>
              <a:t>Gross Development Expenditure on 2022 </a:t>
            </a:r>
            <a:endParaRPr lang="en-US" sz="1400"/>
          </a:p>
        </c:rich>
      </c:tx>
      <c:layout>
        <c:manualLayout>
          <c:xMode val="edge"/>
          <c:yMode val="edge"/>
          <c:x val="1.0074829401614858E-2"/>
          <c:y val="1.91518495358315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4'!$C$3:$C$4</c:f>
              <c:strCache>
                <c:ptCount val="1"/>
                <c:pt idx="0">
                  <c:v>2022</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4'!$B$5:$B$15</c:f>
              <c:strCache>
                <c:ptCount val="11"/>
                <c:pt idx="0">
                  <c:v> Housing</c:v>
                </c:pt>
                <c:pt idx="1">
                  <c:v> Trade and industry              </c:v>
                </c:pt>
                <c:pt idx="2">
                  <c:v> Agriculture 
and rural development</c:v>
                </c:pt>
                <c:pt idx="3">
                  <c:v> Energy and public utilities</c:v>
                </c:pt>
                <c:pt idx="4">
                  <c:v> General administration</c:v>
                </c:pt>
                <c:pt idx="5">
                  <c:v> Health</c:v>
                </c:pt>
                <c:pt idx="6">
                  <c:v> Social and community services</c:v>
                </c:pt>
                <c:pt idx="7">
                  <c:v> Defence and security</c:v>
                </c:pt>
                <c:pt idx="8">
                  <c:v> Education</c:v>
                </c:pt>
                <c:pt idx="9">
                  <c:v> Transport</c:v>
                </c:pt>
                <c:pt idx="10">
                  <c:v> Others</c:v>
                </c:pt>
              </c:strCache>
            </c:strRef>
          </c:cat>
          <c:val>
            <c:numRef>
              <c:f>'Chart 4'!$C$5:$C$15</c:f>
              <c:numCache>
                <c:formatCode>_-* #,##0_-;\-* #,##0_-;_-* "-"??_-;_-@_-</c:formatCode>
                <c:ptCount val="11"/>
                <c:pt idx="0">
                  <c:v>1771</c:v>
                </c:pt>
                <c:pt idx="1">
                  <c:v>2087</c:v>
                </c:pt>
                <c:pt idx="2">
                  <c:v>2860</c:v>
                </c:pt>
                <c:pt idx="3">
                  <c:v>3167</c:v>
                </c:pt>
                <c:pt idx="4">
                  <c:v>3754</c:v>
                </c:pt>
                <c:pt idx="5">
                  <c:v>4457</c:v>
                </c:pt>
                <c:pt idx="6">
                  <c:v>4488</c:v>
                </c:pt>
                <c:pt idx="7">
                  <c:v>8970</c:v>
                </c:pt>
                <c:pt idx="8">
                  <c:v>11955</c:v>
                </c:pt>
                <c:pt idx="9">
                  <c:v>15509</c:v>
                </c:pt>
                <c:pt idx="10">
                  <c:v>16582</c:v>
                </c:pt>
              </c:numCache>
            </c:numRef>
          </c:val>
          <c:extLst>
            <c:ext xmlns:c16="http://schemas.microsoft.com/office/drawing/2014/chart" uri="{C3380CC4-5D6E-409C-BE32-E72D297353CC}">
              <c16:uniqueId val="{00000000-C272-4DCD-B13B-CA68DCF2838D}"/>
            </c:ext>
          </c:extLst>
        </c:ser>
        <c:dLbls>
          <c:showLegendKey val="0"/>
          <c:showVal val="0"/>
          <c:showCatName val="0"/>
          <c:showSerName val="0"/>
          <c:showPercent val="0"/>
          <c:showBubbleSize val="0"/>
        </c:dLbls>
        <c:gapWidth val="182"/>
        <c:axId val="276779232"/>
        <c:axId val="276785472"/>
      </c:barChart>
      <c:catAx>
        <c:axId val="276779232"/>
        <c:scaling>
          <c:orientation val="minMax"/>
        </c:scaling>
        <c:delete val="0"/>
        <c:axPos val="l"/>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276785472"/>
        <c:crosses val="autoZero"/>
        <c:auto val="1"/>
        <c:lblAlgn val="ctr"/>
        <c:lblOffset val="10"/>
        <c:noMultiLvlLbl val="0"/>
      </c:catAx>
      <c:valAx>
        <c:axId val="27678547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Total</a:t>
                </a:r>
                <a:r>
                  <a:rPr lang="en-MY" baseline="0"/>
                  <a:t> Development Expenditure</a:t>
                </a:r>
                <a:endParaRPr lang="en-MY"/>
              </a:p>
            </c:rich>
          </c:tx>
          <c:layout>
            <c:manualLayout>
              <c:xMode val="edge"/>
              <c:yMode val="edge"/>
              <c:x val="0.2449949683899704"/>
              <c:y val="0.917810445629951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_-* #,##0_-;\-* #,##0_-;_-* &quot;-&quot;??_-;_-@_-" sourceLinked="1"/>
        <c:majorTickMark val="none"/>
        <c:minorTickMark val="none"/>
        <c:tickLblPos val="nextTo"/>
        <c:crossAx val="276779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[Dataset.xlsx]Chart 1!PivotTable2</c:name>
    <c:fmtId val="19"/>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Revenue is </a:t>
            </a:r>
            <a:r>
              <a:rPr lang="en-US" baseline="0">
                <a:solidFill>
                  <a:schemeClr val="accent6"/>
                </a:solidFill>
              </a:rPr>
              <a:t>264,415 million </a:t>
            </a:r>
            <a:r>
              <a:rPr lang="en-US" baseline="0"/>
              <a:t>for 2019 and Lowest Revenue is </a:t>
            </a:r>
            <a:r>
              <a:rPr lang="en-US" baseline="0">
                <a:solidFill>
                  <a:srgbClr val="C00000"/>
                </a:solidFill>
              </a:rPr>
              <a:t>159,653 million</a:t>
            </a:r>
            <a:r>
              <a:rPr lang="en-US" baseline="0"/>
              <a:t> for 2010 </a:t>
            </a:r>
            <a:endParaRPr lang="en-US"/>
          </a:p>
        </c:rich>
      </c:tx>
      <c:layout>
        <c:manualLayout>
          <c:xMode val="edge"/>
          <c:yMode val="edge"/>
          <c:x val="1.3906785141577211E-2"/>
          <c:y val="2.777765306753244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75000"/>
            </a:schemeClr>
          </a:solidFill>
          <a:ln>
            <a:solidFill>
              <a:schemeClr val="bg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solidFill>
              <a:schemeClr val="accent6"/>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solidFill>
              <a:srgbClr val="C000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75000"/>
            </a:schemeClr>
          </a:solidFill>
          <a:ln>
            <a:solidFill>
              <a:schemeClr val="bg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solidFill>
              <a:srgbClr val="C000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solidFill>
              <a:schemeClr val="accent6"/>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solidFill>
              <a:schemeClr val="bg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00000"/>
          </a:solidFill>
          <a:ln>
            <a:solidFill>
              <a:srgbClr val="C000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solidFill>
              <a:schemeClr val="accent6"/>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1'!$C$3</c:f>
              <c:strCache>
                <c:ptCount val="1"/>
                <c:pt idx="0">
                  <c:v>Total</c:v>
                </c:pt>
              </c:strCache>
            </c:strRef>
          </c:tx>
          <c:spPr>
            <a:solidFill>
              <a:schemeClr val="bg1">
                <a:lumMod val="75000"/>
              </a:schemeClr>
            </a:solidFill>
            <a:ln>
              <a:solidFill>
                <a:schemeClr val="bg1">
                  <a:lumMod val="75000"/>
                </a:schemeClr>
              </a:solidFill>
            </a:ln>
            <a:effectLst/>
          </c:spPr>
          <c:invertIfNegative val="0"/>
          <c:dPt>
            <c:idx val="0"/>
            <c:invertIfNegative val="0"/>
            <c:bubble3D val="0"/>
            <c:spPr>
              <a:solidFill>
                <a:srgbClr val="C00000"/>
              </a:solidFill>
              <a:ln>
                <a:solidFill>
                  <a:srgbClr val="C00000"/>
                </a:solidFill>
              </a:ln>
              <a:effectLst/>
            </c:spPr>
            <c:extLst>
              <c:ext xmlns:c16="http://schemas.microsoft.com/office/drawing/2014/chart" uri="{C3380CC4-5D6E-409C-BE32-E72D297353CC}">
                <c16:uniqueId val="{00000001-D7B3-4F3B-B75F-248E12B1B723}"/>
              </c:ext>
            </c:extLst>
          </c:dPt>
          <c:dPt>
            <c:idx val="9"/>
            <c:invertIfNegative val="0"/>
            <c:bubble3D val="0"/>
            <c:spPr>
              <a:solidFill>
                <a:schemeClr val="accent6"/>
              </a:solidFill>
              <a:ln>
                <a:solidFill>
                  <a:schemeClr val="accent6"/>
                </a:solidFill>
              </a:ln>
              <a:effectLst/>
            </c:spPr>
            <c:extLst>
              <c:ext xmlns:c16="http://schemas.microsoft.com/office/drawing/2014/chart" uri="{C3380CC4-5D6E-409C-BE32-E72D297353CC}">
                <c16:uniqueId val="{00000003-D7B3-4F3B-B75F-248E12B1B723}"/>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B3-4F3B-B75F-248E12B1B723}"/>
                </c:ext>
              </c:extLst>
            </c:dLbl>
            <c:dLbl>
              <c:idx val="9"/>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B3-4F3B-B75F-248E12B1B7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1'!$B$4:$B$17</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'Chart 1'!$C$4:$C$17</c:f>
              <c:numCache>
                <c:formatCode>_(* #,##0_);_(* \(#,##0\);_(* "-"??_);_(@_)</c:formatCode>
                <c:ptCount val="13"/>
                <c:pt idx="0">
                  <c:v>159653</c:v>
                </c:pt>
                <c:pt idx="1">
                  <c:v>185419</c:v>
                </c:pt>
                <c:pt idx="2">
                  <c:v>207913</c:v>
                </c:pt>
                <c:pt idx="3">
                  <c:v>213370</c:v>
                </c:pt>
                <c:pt idx="4">
                  <c:v>220626</c:v>
                </c:pt>
                <c:pt idx="5">
                  <c:v>219089</c:v>
                </c:pt>
                <c:pt idx="6">
                  <c:v>212421</c:v>
                </c:pt>
                <c:pt idx="7">
                  <c:v>220406</c:v>
                </c:pt>
                <c:pt idx="8">
                  <c:v>232882</c:v>
                </c:pt>
                <c:pt idx="9">
                  <c:v>264415</c:v>
                </c:pt>
                <c:pt idx="10">
                  <c:v>225076</c:v>
                </c:pt>
                <c:pt idx="11">
                  <c:v>221023</c:v>
                </c:pt>
                <c:pt idx="12">
                  <c:v>234011</c:v>
                </c:pt>
              </c:numCache>
            </c:numRef>
          </c:val>
          <c:extLst>
            <c:ext xmlns:c16="http://schemas.microsoft.com/office/drawing/2014/chart" uri="{C3380CC4-5D6E-409C-BE32-E72D297353CC}">
              <c16:uniqueId val="{00000004-D7B3-4F3B-B75F-248E12B1B723}"/>
            </c:ext>
          </c:extLst>
        </c:ser>
        <c:dLbls>
          <c:showLegendKey val="0"/>
          <c:showVal val="0"/>
          <c:showCatName val="0"/>
          <c:showSerName val="0"/>
          <c:showPercent val="0"/>
          <c:showBubbleSize val="0"/>
        </c:dLbls>
        <c:gapWidth val="58"/>
        <c:overlap val="-5"/>
        <c:axId val="263252752"/>
        <c:axId val="42351248"/>
      </c:barChart>
      <c:catAx>
        <c:axId val="2632527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51248"/>
        <c:crosses val="autoZero"/>
        <c:auto val="1"/>
        <c:lblAlgn val="ctr"/>
        <c:lblOffset val="100"/>
        <c:noMultiLvlLbl val="0"/>
      </c:catAx>
      <c:valAx>
        <c:axId val="42351248"/>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Total</a:t>
                </a:r>
                <a:r>
                  <a:rPr lang="en-MY" baseline="0"/>
                  <a:t> Revenue (Million)</a:t>
                </a:r>
                <a:endParaRPr lang="en-MY"/>
              </a:p>
            </c:rich>
          </c:tx>
          <c:layout>
            <c:manualLayout>
              <c:xMode val="edge"/>
              <c:yMode val="edge"/>
              <c:x val="5.5555555555555558E-3"/>
              <c:y val="0.337955307669874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MY"/>
            </a:p>
          </c:txPr>
        </c:title>
        <c:numFmt formatCode="_(* #,##0_);_(* \(#,##0\);_(* &quot;-&quot;??_);_(@_)" sourceLinked="1"/>
        <c:majorTickMark val="out"/>
        <c:minorTickMark val="none"/>
        <c:tickLblPos val="nextTo"/>
        <c:crossAx val="263252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380999</xdr:colOff>
      <xdr:row>2</xdr:row>
      <xdr:rowOff>10885</xdr:rowOff>
    </xdr:from>
    <xdr:to>
      <xdr:col>13</xdr:col>
      <xdr:colOff>429985</xdr:colOff>
      <xdr:row>17</xdr:row>
      <xdr:rowOff>130629</xdr:rowOff>
    </xdr:to>
    <xdr:graphicFrame macro="">
      <xdr:nvGraphicFramePr>
        <xdr:cNvPr id="2" name="Chart 1">
          <a:extLst>
            <a:ext uri="{FF2B5EF4-FFF2-40B4-BE49-F238E27FC236}">
              <a16:creationId xmlns:a16="http://schemas.microsoft.com/office/drawing/2014/main" id="{635334F4-4DE8-A6AB-AB4C-BD35149AAE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0.76616</cdr:x>
      <cdr:y>0.21053</cdr:y>
    </cdr:from>
    <cdr:to>
      <cdr:x>0.76794</cdr:x>
      <cdr:y>0.9906</cdr:y>
    </cdr:to>
    <cdr:cxnSp macro="">
      <cdr:nvCxnSpPr>
        <cdr:cNvPr id="3" name="Straight Connector 2">
          <a:extLst xmlns:a="http://schemas.openxmlformats.org/drawingml/2006/main">
            <a:ext uri="{FF2B5EF4-FFF2-40B4-BE49-F238E27FC236}">
              <a16:creationId xmlns:a16="http://schemas.microsoft.com/office/drawing/2014/main" id="{B0B60C52-EA07-5D82-67A4-ECAAE27D0CA4}"/>
            </a:ext>
          </a:extLst>
        </cdr:cNvPr>
        <cdr:cNvCxnSpPr/>
      </cdr:nvCxnSpPr>
      <cdr:spPr>
        <a:xfrm xmlns:a="http://schemas.openxmlformats.org/drawingml/2006/main">
          <a:off x="4708072" y="609600"/>
          <a:ext cx="10886" cy="2258786"/>
        </a:xfrm>
        <a:prstGeom xmlns:a="http://schemas.openxmlformats.org/drawingml/2006/main" prst="line">
          <a:avLst/>
        </a:prstGeom>
        <a:ln xmlns:a="http://schemas.openxmlformats.org/drawingml/2006/main">
          <a:solidFill>
            <a:schemeClr val="bg1">
              <a:lumMod val="65000"/>
            </a:schemeClr>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0.80514</cdr:x>
      <cdr:y>0.22368</cdr:y>
    </cdr:from>
    <cdr:to>
      <cdr:x>0.97786</cdr:x>
      <cdr:y>0.38158</cdr:y>
    </cdr:to>
    <cdr:sp macro="" textlink="">
      <cdr:nvSpPr>
        <cdr:cNvPr id="5" name="TextBox 4">
          <a:extLst xmlns:a="http://schemas.openxmlformats.org/drawingml/2006/main">
            <a:ext uri="{FF2B5EF4-FFF2-40B4-BE49-F238E27FC236}">
              <a16:creationId xmlns:a16="http://schemas.microsoft.com/office/drawing/2014/main" id="{1F0F499A-A393-5619-F931-1B92C616A214}"/>
            </a:ext>
          </a:extLst>
        </cdr:cNvPr>
        <cdr:cNvSpPr txBox="1"/>
      </cdr:nvSpPr>
      <cdr:spPr>
        <a:xfrm xmlns:a="http://schemas.openxmlformats.org/drawingml/2006/main">
          <a:off x="4947556" y="647701"/>
          <a:ext cx="1061357" cy="45720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MY" sz="1100" b="1" kern="1200">
              <a:solidFill>
                <a:schemeClr val="bg1">
                  <a:lumMod val="75000"/>
                </a:schemeClr>
              </a:solidFill>
            </a:rPr>
            <a:t>Covid-19 pandemic</a:t>
          </a: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114297</xdr:colOff>
      <xdr:row>1</xdr:row>
      <xdr:rowOff>163285</xdr:rowOff>
    </xdr:from>
    <xdr:to>
      <xdr:col>12</xdr:col>
      <xdr:colOff>522514</xdr:colOff>
      <xdr:row>23</xdr:row>
      <xdr:rowOff>32657</xdr:rowOff>
    </xdr:to>
    <xdr:graphicFrame macro="">
      <xdr:nvGraphicFramePr>
        <xdr:cNvPr id="3" name="Chart 2">
          <a:extLst>
            <a:ext uri="{FF2B5EF4-FFF2-40B4-BE49-F238E27FC236}">
              <a16:creationId xmlns:a16="http://schemas.microsoft.com/office/drawing/2014/main" id="{849FB2B7-F18F-D632-AA94-999AEEFBA9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0.87862</cdr:x>
      <cdr:y>0.24182</cdr:y>
    </cdr:from>
    <cdr:to>
      <cdr:x>0.98567</cdr:x>
      <cdr:y>0.36558</cdr:y>
    </cdr:to>
    <cdr:sp macro="" textlink="">
      <cdr:nvSpPr>
        <cdr:cNvPr id="3" name="TextBox 2">
          <a:extLst xmlns:a="http://schemas.openxmlformats.org/drawingml/2006/main">
            <a:ext uri="{FF2B5EF4-FFF2-40B4-BE49-F238E27FC236}">
              <a16:creationId xmlns:a16="http://schemas.microsoft.com/office/drawing/2014/main" id="{ECE79D1D-9615-5730-990B-2B2E2A76CCD3}"/>
            </a:ext>
          </a:extLst>
        </cdr:cNvPr>
        <cdr:cNvSpPr txBox="1"/>
      </cdr:nvSpPr>
      <cdr:spPr>
        <a:xfrm xmlns:a="http://schemas.openxmlformats.org/drawingml/2006/main">
          <a:off x="7005959" y="925285"/>
          <a:ext cx="853529" cy="47353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MY" sz="1100" kern="1200">
              <a:solidFill>
                <a:schemeClr val="accent2"/>
              </a:solidFill>
            </a:rPr>
            <a:t>Operating</a:t>
          </a:r>
          <a:r>
            <a:rPr lang="en-MY" sz="1100" kern="1200" baseline="0">
              <a:solidFill>
                <a:schemeClr val="accent2"/>
              </a:solidFill>
            </a:rPr>
            <a:t> Expenditure</a:t>
          </a:r>
          <a:endParaRPr lang="en-MY" sz="1100" kern="1200">
            <a:solidFill>
              <a:schemeClr val="accent2"/>
            </a:solidFill>
          </a:endParaRPr>
        </a:p>
      </cdr:txBody>
    </cdr:sp>
  </cdr:relSizeAnchor>
  <cdr:relSizeAnchor xmlns:cdr="http://schemas.openxmlformats.org/drawingml/2006/chartDrawing">
    <cdr:from>
      <cdr:x>0.88338</cdr:x>
      <cdr:y>0.63205</cdr:y>
    </cdr:from>
    <cdr:to>
      <cdr:x>1</cdr:x>
      <cdr:y>0.79516</cdr:y>
    </cdr:to>
    <cdr:sp macro="" textlink="">
      <cdr:nvSpPr>
        <cdr:cNvPr id="4" name="TextBox 1">
          <a:extLst xmlns:a="http://schemas.openxmlformats.org/drawingml/2006/main">
            <a:ext uri="{FF2B5EF4-FFF2-40B4-BE49-F238E27FC236}">
              <a16:creationId xmlns:a16="http://schemas.microsoft.com/office/drawing/2014/main" id="{2F2700A4-08E7-5D5B-DB5D-7CC0737E9E3E}"/>
            </a:ext>
          </a:extLst>
        </cdr:cNvPr>
        <cdr:cNvSpPr txBox="1"/>
      </cdr:nvSpPr>
      <cdr:spPr>
        <a:xfrm xmlns:a="http://schemas.openxmlformats.org/drawingml/2006/main">
          <a:off x="7558316" y="2418441"/>
          <a:ext cx="997856" cy="62411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MY" sz="1100" kern="1200">
              <a:solidFill>
                <a:srgbClr val="C00000"/>
              </a:solidFill>
            </a:rPr>
            <a:t>Gross</a:t>
          </a:r>
          <a:r>
            <a:rPr lang="en-MY" sz="1100" kern="1200" baseline="0">
              <a:solidFill>
                <a:srgbClr val="C00000"/>
              </a:solidFill>
            </a:rPr>
            <a:t> Development Expenditure</a:t>
          </a:r>
          <a:endParaRPr lang="en-MY" sz="1100" kern="1200">
            <a:solidFill>
              <a:srgbClr val="C00000"/>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3</xdr:col>
      <xdr:colOff>421821</xdr:colOff>
      <xdr:row>1</xdr:row>
      <xdr:rowOff>179611</xdr:rowOff>
    </xdr:from>
    <xdr:to>
      <xdr:col>14</xdr:col>
      <xdr:colOff>364671</xdr:colOff>
      <xdr:row>19</xdr:row>
      <xdr:rowOff>179612</xdr:rowOff>
    </xdr:to>
    <xdr:graphicFrame macro="">
      <xdr:nvGraphicFramePr>
        <xdr:cNvPr id="3" name="Chart 2">
          <a:extLst>
            <a:ext uri="{FF2B5EF4-FFF2-40B4-BE49-F238E27FC236}">
              <a16:creationId xmlns:a16="http://schemas.microsoft.com/office/drawing/2014/main" id="{9C309856-B29B-EB22-2D8F-78231C6F5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201385</xdr:colOff>
      <xdr:row>11</xdr:row>
      <xdr:rowOff>65316</xdr:rowOff>
    </xdr:from>
    <xdr:to>
      <xdr:col>14</xdr:col>
      <xdr:colOff>348343</xdr:colOff>
      <xdr:row>19</xdr:row>
      <xdr:rowOff>163286</xdr:rowOff>
    </xdr:to>
    <mc:AlternateContent xmlns:mc="http://schemas.openxmlformats.org/markup-compatibility/2006">
      <mc:Choice xmlns:a14="http://schemas.microsoft.com/office/drawing/2010/main" Requires="a14">
        <xdr:graphicFrame macro="">
          <xdr:nvGraphicFramePr>
            <xdr:cNvPr id="4" name="&#10;Year">
              <a:extLst>
                <a:ext uri="{FF2B5EF4-FFF2-40B4-BE49-F238E27FC236}">
                  <a16:creationId xmlns:a16="http://schemas.microsoft.com/office/drawing/2014/main" id="{E164E783-4F4B-1342-69F6-A37FDB1945B3}"/>
                </a:ext>
              </a:extLst>
            </xdr:cNvPr>
            <xdr:cNvGraphicFramePr/>
          </xdr:nvGraphicFramePr>
          <xdr:xfrm>
            <a:off x="0" y="0"/>
            <a:ext cx="0" cy="0"/>
          </xdr:xfrm>
          <a:graphic>
            <a:graphicData uri="http://schemas.microsoft.com/office/drawing/2010/slicer">
              <sle:slicer xmlns:sle="http://schemas.microsoft.com/office/drawing/2010/slicer" name="&#10;Year"/>
            </a:graphicData>
          </a:graphic>
        </xdr:graphicFrame>
      </mc:Choice>
      <mc:Fallback>
        <xdr:sp macro="" textlink="">
          <xdr:nvSpPr>
            <xdr:cNvPr id="0" name=""/>
            <xdr:cNvSpPr>
              <a:spLocks noTextEdit="1"/>
            </xdr:cNvSpPr>
          </xdr:nvSpPr>
          <xdr:spPr>
            <a:xfrm>
              <a:off x="7287985" y="2100945"/>
              <a:ext cx="2302329" cy="1578427"/>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146956</xdr:colOff>
      <xdr:row>1</xdr:row>
      <xdr:rowOff>174171</xdr:rowOff>
    </xdr:from>
    <xdr:to>
      <xdr:col>16</xdr:col>
      <xdr:colOff>1687285</xdr:colOff>
      <xdr:row>23</xdr:row>
      <xdr:rowOff>108857</xdr:rowOff>
    </xdr:to>
    <xdr:graphicFrame macro="">
      <xdr:nvGraphicFramePr>
        <xdr:cNvPr id="3" name="Chart 2">
          <a:extLst>
            <a:ext uri="{FF2B5EF4-FFF2-40B4-BE49-F238E27FC236}">
              <a16:creationId xmlns:a16="http://schemas.microsoft.com/office/drawing/2014/main" id="{88B08722-F798-4766-AE92-886417E3A5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593271</xdr:colOff>
      <xdr:row>14</xdr:row>
      <xdr:rowOff>97970</xdr:rowOff>
    </xdr:from>
    <xdr:to>
      <xdr:col>16</xdr:col>
      <xdr:colOff>1681842</xdr:colOff>
      <xdr:row>23</xdr:row>
      <xdr:rowOff>103413</xdr:rowOff>
    </xdr:to>
    <mc:AlternateContent xmlns:mc="http://schemas.openxmlformats.org/markup-compatibility/2006">
      <mc:Choice xmlns:a14="http://schemas.microsoft.com/office/drawing/2010/main" Requires="a14">
        <xdr:graphicFrame macro="">
          <xdr:nvGraphicFramePr>
            <xdr:cNvPr id="2" name="&#10;Year 2">
              <a:extLst>
                <a:ext uri="{FF2B5EF4-FFF2-40B4-BE49-F238E27FC236}">
                  <a16:creationId xmlns:a16="http://schemas.microsoft.com/office/drawing/2014/main" id="{80FAFC97-0418-F5CD-7FBC-CD8500F2E175}"/>
                </a:ext>
              </a:extLst>
            </xdr:cNvPr>
            <xdr:cNvGraphicFramePr/>
          </xdr:nvGraphicFramePr>
          <xdr:xfrm>
            <a:off x="0" y="0"/>
            <a:ext cx="0" cy="0"/>
          </xdr:xfrm>
          <a:graphic>
            <a:graphicData uri="http://schemas.microsoft.com/office/drawing/2010/slicer">
              <sle:slicer xmlns:sle="http://schemas.microsoft.com/office/drawing/2010/slicer" name="&#10;Year 2"/>
            </a:graphicData>
          </a:graphic>
        </xdr:graphicFrame>
      </mc:Choice>
      <mc:Fallback>
        <xdr:sp macro="" textlink="">
          <xdr:nvSpPr>
            <xdr:cNvPr id="0" name=""/>
            <xdr:cNvSpPr>
              <a:spLocks noTextEdit="1"/>
            </xdr:cNvSpPr>
          </xdr:nvSpPr>
          <xdr:spPr>
            <a:xfrm>
              <a:off x="9263742" y="2688770"/>
              <a:ext cx="1828800" cy="1670957"/>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14</xdr:col>
      <xdr:colOff>622299</xdr:colOff>
      <xdr:row>5</xdr:row>
      <xdr:rowOff>163288</xdr:rowOff>
    </xdr:from>
    <xdr:to>
      <xdr:col>24</xdr:col>
      <xdr:colOff>508000</xdr:colOff>
      <xdr:row>27</xdr:row>
      <xdr:rowOff>99785</xdr:rowOff>
    </xdr:to>
    <xdr:graphicFrame macro="">
      <xdr:nvGraphicFramePr>
        <xdr:cNvPr id="3" name="Chart 2">
          <a:extLst>
            <a:ext uri="{FF2B5EF4-FFF2-40B4-BE49-F238E27FC236}">
              <a16:creationId xmlns:a16="http://schemas.microsoft.com/office/drawing/2014/main" id="{8A964BA7-6908-468E-A6ED-26A13972F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38101</xdr:colOff>
      <xdr:row>29</xdr:row>
      <xdr:rowOff>119742</xdr:rowOff>
    </xdr:from>
    <xdr:to>
      <xdr:col>12</xdr:col>
      <xdr:colOff>571499</xdr:colOff>
      <xdr:row>51</xdr:row>
      <xdr:rowOff>59873</xdr:rowOff>
    </xdr:to>
    <xdr:graphicFrame macro="">
      <xdr:nvGraphicFramePr>
        <xdr:cNvPr id="4" name="Chart 3">
          <a:extLst>
            <a:ext uri="{FF2B5EF4-FFF2-40B4-BE49-F238E27FC236}">
              <a16:creationId xmlns:a16="http://schemas.microsoft.com/office/drawing/2014/main" id="{A9A2B338-85FA-44C8-8B51-BA163CF05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226786</xdr:colOff>
      <xdr:row>42</xdr:row>
      <xdr:rowOff>132449</xdr:rowOff>
    </xdr:from>
    <xdr:to>
      <xdr:col>12</xdr:col>
      <xdr:colOff>569684</xdr:colOff>
      <xdr:row>51</xdr:row>
      <xdr:rowOff>54434</xdr:rowOff>
    </xdr:to>
    <mc:AlternateContent xmlns:mc="http://schemas.openxmlformats.org/markup-compatibility/2006" xmlns:a14="http://schemas.microsoft.com/office/drawing/2010/main">
      <mc:Choice Requires="a14">
        <xdr:graphicFrame macro="">
          <xdr:nvGraphicFramePr>
            <xdr:cNvPr id="5" name="&#10;Year 1">
              <a:extLst>
                <a:ext uri="{FF2B5EF4-FFF2-40B4-BE49-F238E27FC236}">
                  <a16:creationId xmlns:a16="http://schemas.microsoft.com/office/drawing/2014/main" id="{99140A4A-0E59-4D84-8A62-E3F5DB71E87A}"/>
                </a:ext>
              </a:extLst>
            </xdr:cNvPr>
            <xdr:cNvGraphicFramePr/>
          </xdr:nvGraphicFramePr>
          <xdr:xfrm>
            <a:off x="0" y="0"/>
            <a:ext cx="0" cy="0"/>
          </xdr:xfrm>
          <a:graphic>
            <a:graphicData uri="http://schemas.microsoft.com/office/drawing/2010/slicer">
              <sle:slicer xmlns:sle="http://schemas.microsoft.com/office/drawing/2010/slicer" name="&#10;Year 1"/>
            </a:graphicData>
          </a:graphic>
        </xdr:graphicFrame>
      </mc:Choice>
      <mc:Fallback xmlns="">
        <xdr:sp macro="" textlink="">
          <xdr:nvSpPr>
            <xdr:cNvPr id="0" name=""/>
            <xdr:cNvSpPr>
              <a:spLocks noTextEdit="1"/>
            </xdr:cNvSpPr>
          </xdr:nvSpPr>
          <xdr:spPr>
            <a:xfrm>
              <a:off x="5451929" y="7770592"/>
              <a:ext cx="2302328" cy="155484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605972</xdr:colOff>
      <xdr:row>29</xdr:row>
      <xdr:rowOff>132442</xdr:rowOff>
    </xdr:from>
    <xdr:to>
      <xdr:col>24</xdr:col>
      <xdr:colOff>498929</xdr:colOff>
      <xdr:row>51</xdr:row>
      <xdr:rowOff>72572</xdr:rowOff>
    </xdr:to>
    <xdr:graphicFrame macro="">
      <xdr:nvGraphicFramePr>
        <xdr:cNvPr id="6" name="Chart 5">
          <a:extLst>
            <a:ext uri="{FF2B5EF4-FFF2-40B4-BE49-F238E27FC236}">
              <a16:creationId xmlns:a16="http://schemas.microsoft.com/office/drawing/2014/main" id="{60D232B0-BCF9-4E55-87C0-3D40536EF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602343</xdr:colOff>
      <xdr:row>42</xdr:row>
      <xdr:rowOff>50797</xdr:rowOff>
    </xdr:from>
    <xdr:to>
      <xdr:col>24</xdr:col>
      <xdr:colOff>471716</xdr:colOff>
      <xdr:row>51</xdr:row>
      <xdr:rowOff>61684</xdr:rowOff>
    </xdr:to>
    <mc:AlternateContent xmlns:mc="http://schemas.openxmlformats.org/markup-compatibility/2006" xmlns:a14="http://schemas.microsoft.com/office/drawing/2010/main">
      <mc:Choice Requires="a14">
        <xdr:graphicFrame macro="">
          <xdr:nvGraphicFramePr>
            <xdr:cNvPr id="7" name="&#10;Year 3">
              <a:extLst>
                <a:ext uri="{FF2B5EF4-FFF2-40B4-BE49-F238E27FC236}">
                  <a16:creationId xmlns:a16="http://schemas.microsoft.com/office/drawing/2014/main" id="{E6490F41-2F34-4014-888D-21CA5CEE8854}"/>
                </a:ext>
              </a:extLst>
            </xdr:cNvPr>
            <xdr:cNvGraphicFramePr/>
          </xdr:nvGraphicFramePr>
          <xdr:xfrm>
            <a:off x="0" y="0"/>
            <a:ext cx="0" cy="0"/>
          </xdr:xfrm>
          <a:graphic>
            <a:graphicData uri="http://schemas.microsoft.com/office/drawing/2010/slicer">
              <sle:slicer xmlns:sle="http://schemas.microsoft.com/office/drawing/2010/slicer" name="&#10;Year 3"/>
            </a:graphicData>
          </a:graphic>
        </xdr:graphicFrame>
      </mc:Choice>
      <mc:Fallback xmlns="">
        <xdr:sp macro="" textlink="">
          <xdr:nvSpPr>
            <xdr:cNvPr id="0" name=""/>
            <xdr:cNvSpPr>
              <a:spLocks noTextEdit="1"/>
            </xdr:cNvSpPr>
          </xdr:nvSpPr>
          <xdr:spPr>
            <a:xfrm>
              <a:off x="14318343" y="7688940"/>
              <a:ext cx="1828801" cy="1643743"/>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27214</xdr:colOff>
      <xdr:row>5</xdr:row>
      <xdr:rowOff>136072</xdr:rowOff>
    </xdr:from>
    <xdr:to>
      <xdr:col>12</xdr:col>
      <xdr:colOff>580570</xdr:colOff>
      <xdr:row>27</xdr:row>
      <xdr:rowOff>108857</xdr:rowOff>
    </xdr:to>
    <xdr:graphicFrame macro="">
      <xdr:nvGraphicFramePr>
        <xdr:cNvPr id="15" name="Chart 14">
          <a:extLst>
            <a:ext uri="{FF2B5EF4-FFF2-40B4-BE49-F238E27FC236}">
              <a16:creationId xmlns:a16="http://schemas.microsoft.com/office/drawing/2014/main" id="{3FECB823-9D7D-4FBD-B84B-0A05E818C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0.83461</cdr:x>
      <cdr:y>0.26722</cdr:y>
    </cdr:from>
    <cdr:to>
      <cdr:x>0.97153</cdr:x>
      <cdr:y>0.40416</cdr:y>
    </cdr:to>
    <cdr:sp macro="" textlink="">
      <cdr:nvSpPr>
        <cdr:cNvPr id="3" name="TextBox 2">
          <a:extLst xmlns:a="http://schemas.openxmlformats.org/drawingml/2006/main">
            <a:ext uri="{FF2B5EF4-FFF2-40B4-BE49-F238E27FC236}">
              <a16:creationId xmlns:a16="http://schemas.microsoft.com/office/drawing/2014/main" id="{ECE79D1D-9615-5730-990B-2B2E2A76CCD3}"/>
            </a:ext>
          </a:extLst>
        </cdr:cNvPr>
        <cdr:cNvSpPr txBox="1"/>
      </cdr:nvSpPr>
      <cdr:spPr>
        <a:xfrm xmlns:a="http://schemas.openxmlformats.org/drawingml/2006/main">
          <a:off x="5355771" y="1049637"/>
          <a:ext cx="878686" cy="5378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MY" sz="1100" kern="1200">
              <a:solidFill>
                <a:schemeClr val="accent2"/>
              </a:solidFill>
            </a:rPr>
            <a:t>Operating</a:t>
          </a:r>
          <a:r>
            <a:rPr lang="en-MY" sz="1100" kern="1200" baseline="0">
              <a:solidFill>
                <a:schemeClr val="accent2"/>
              </a:solidFill>
            </a:rPr>
            <a:t> Expenditure</a:t>
          </a:r>
          <a:endParaRPr lang="en-MY" sz="1100" kern="1200">
            <a:solidFill>
              <a:schemeClr val="accent2"/>
            </a:solidFill>
          </a:endParaRPr>
        </a:p>
      </cdr:txBody>
    </cdr:sp>
  </cdr:relSizeAnchor>
  <cdr:relSizeAnchor xmlns:cdr="http://schemas.openxmlformats.org/drawingml/2006/chartDrawing">
    <cdr:from>
      <cdr:x>0.84874</cdr:x>
      <cdr:y>0.63205</cdr:y>
    </cdr:from>
    <cdr:to>
      <cdr:x>1</cdr:x>
      <cdr:y>0.78984</cdr:y>
    </cdr:to>
    <cdr:sp macro="" textlink="">
      <cdr:nvSpPr>
        <cdr:cNvPr id="4" name="TextBox 1">
          <a:extLst xmlns:a="http://schemas.openxmlformats.org/drawingml/2006/main">
            <a:ext uri="{FF2B5EF4-FFF2-40B4-BE49-F238E27FC236}">
              <a16:creationId xmlns:a16="http://schemas.microsoft.com/office/drawing/2014/main" id="{2F2700A4-08E7-5D5B-DB5D-7CC0737E9E3E}"/>
            </a:ext>
          </a:extLst>
        </cdr:cNvPr>
        <cdr:cNvSpPr txBox="1"/>
      </cdr:nvSpPr>
      <cdr:spPr>
        <a:xfrm xmlns:a="http://schemas.openxmlformats.org/drawingml/2006/main">
          <a:off x="5446486" y="2482646"/>
          <a:ext cx="970643" cy="61978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MY" sz="1100" kern="1200">
              <a:solidFill>
                <a:srgbClr val="C00000"/>
              </a:solidFill>
            </a:rPr>
            <a:t>Gross</a:t>
          </a:r>
          <a:r>
            <a:rPr lang="en-MY" sz="1100" kern="1200" baseline="0">
              <a:solidFill>
                <a:srgbClr val="C00000"/>
              </a:solidFill>
            </a:rPr>
            <a:t> Development Expenditure</a:t>
          </a:r>
          <a:endParaRPr lang="en-MY" sz="1100" kern="1200">
            <a:solidFill>
              <a:srgbClr val="C00000"/>
            </a:solidFill>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0.76616</cdr:x>
      <cdr:y>0.21053</cdr:y>
    </cdr:from>
    <cdr:to>
      <cdr:x>0.76794</cdr:x>
      <cdr:y>0.9906</cdr:y>
    </cdr:to>
    <cdr:cxnSp macro="">
      <cdr:nvCxnSpPr>
        <cdr:cNvPr id="3" name="Straight Connector 2">
          <a:extLst xmlns:a="http://schemas.openxmlformats.org/drawingml/2006/main">
            <a:ext uri="{FF2B5EF4-FFF2-40B4-BE49-F238E27FC236}">
              <a16:creationId xmlns:a16="http://schemas.microsoft.com/office/drawing/2014/main" id="{B0B60C52-EA07-5D82-67A4-ECAAE27D0CA4}"/>
            </a:ext>
          </a:extLst>
        </cdr:cNvPr>
        <cdr:cNvCxnSpPr/>
      </cdr:nvCxnSpPr>
      <cdr:spPr>
        <a:xfrm xmlns:a="http://schemas.openxmlformats.org/drawingml/2006/main">
          <a:off x="4708072" y="609600"/>
          <a:ext cx="10886" cy="2258786"/>
        </a:xfrm>
        <a:prstGeom xmlns:a="http://schemas.openxmlformats.org/drawingml/2006/main" prst="line">
          <a:avLst/>
        </a:prstGeom>
        <a:ln xmlns:a="http://schemas.openxmlformats.org/drawingml/2006/main">
          <a:solidFill>
            <a:schemeClr val="bg1">
              <a:lumMod val="65000"/>
            </a:schemeClr>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0.80514</cdr:x>
      <cdr:y>0.22368</cdr:y>
    </cdr:from>
    <cdr:to>
      <cdr:x>0.97786</cdr:x>
      <cdr:y>0.38158</cdr:y>
    </cdr:to>
    <cdr:sp macro="" textlink="">
      <cdr:nvSpPr>
        <cdr:cNvPr id="5" name="TextBox 4">
          <a:extLst xmlns:a="http://schemas.openxmlformats.org/drawingml/2006/main">
            <a:ext uri="{FF2B5EF4-FFF2-40B4-BE49-F238E27FC236}">
              <a16:creationId xmlns:a16="http://schemas.microsoft.com/office/drawing/2014/main" id="{1F0F499A-A393-5619-F931-1B92C616A214}"/>
            </a:ext>
          </a:extLst>
        </cdr:cNvPr>
        <cdr:cNvSpPr txBox="1"/>
      </cdr:nvSpPr>
      <cdr:spPr>
        <a:xfrm xmlns:a="http://schemas.openxmlformats.org/drawingml/2006/main">
          <a:off x="4947556" y="647701"/>
          <a:ext cx="1061357" cy="45720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MY" sz="1100" b="1" kern="1200">
              <a:solidFill>
                <a:schemeClr val="bg1">
                  <a:lumMod val="75000"/>
                </a:schemeClr>
              </a:solidFill>
            </a:rPr>
            <a:t>Covid-19 pandemic</a:t>
          </a:r>
        </a:p>
      </cdr:txBody>
    </cdr:sp>
  </cdr:relSizeAnchor>
</c:userShapes>
</file>

<file path=xl/persons/person.xml><?xml version="1.0" encoding="utf-8"?>
<personList xmlns="http://schemas.microsoft.com/office/spreadsheetml/2018/threadedcomments" xmlns:x="http://schemas.openxmlformats.org/spreadsheetml/2006/main">
  <person displayName="UITHISWARY A P VELAN" id="{19E9842B-D3F7-429E-9658-1139B37F4191}" userId="S::1191202283@student.mmu.edu.my::c6565ae7-4a50-40b1-b1ce-b1818361e7c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ithis Velan" refreshedDate="45689.027764583334" createdVersion="8" refreshedVersion="8" minRefreshableVersion="3" recordCount="13" xr:uid="{2E88EA16-D6DA-4AFB-B5C8-7D74A988A100}">
  <cacheSource type="worksheet">
    <worksheetSource ref="A1:P14" sheet="Federal Government Finance"/>
  </cacheSource>
  <cacheFields count="16">
    <cacheField name="Year" numFmtId="0">
      <sharedItems containsSemiMixedTypes="0" containsString="0" containsNumber="1" containsInteger="1" minValue="2010" maxValue="2022" count="13">
        <n v="2010"/>
        <n v="2011"/>
        <n v="2012"/>
        <n v="2013"/>
        <n v="2014"/>
        <n v="2015"/>
        <n v="2016"/>
        <n v="2017"/>
        <n v="2018"/>
        <n v="2019"/>
        <n v="2020"/>
        <n v="2021"/>
        <n v="2022"/>
      </sharedItems>
    </cacheField>
    <cacheField name="Revenue" numFmtId="164">
      <sharedItems containsSemiMixedTypes="0" containsString="0" containsNumber="1" containsInteger="1" minValue="159653" maxValue="264415" count="13">
        <n v="159653"/>
        <n v="185419"/>
        <n v="207913"/>
        <n v="213370"/>
        <n v="220626"/>
        <n v="219089"/>
        <n v="212421"/>
        <n v="220406"/>
        <n v="232882"/>
        <n v="264415"/>
        <n v="225076"/>
        <n v="221023"/>
        <n v="234011"/>
      </sharedItems>
    </cacheField>
    <cacheField name="Operating Expenditure" numFmtId="164">
      <sharedItems containsSemiMixedTypes="0" containsString="0" containsNumber="1" containsInteger="1" minValue="151633" maxValue="263343"/>
    </cacheField>
    <cacheField name="Surplus /         Deficit (-)" numFmtId="164">
      <sharedItems containsSemiMixedTypes="0" containsString="0" containsNumber="1" containsInteger="1" minValue="476" maxValue="8020"/>
    </cacheField>
    <cacheField name="Gross Development Expenditure" numFmtId="164">
      <sharedItems containsSemiMixedTypes="0" containsString="0" containsNumber="1" containsInteger="1" minValue="39503" maxValue="75600"/>
    </cacheField>
    <cacheField name="Less: Loan Recoveries" numFmtId="164">
      <sharedItems containsSemiMixedTypes="0" containsString="0" containsNumber="1" containsInteger="1" minValue="600" maxValue="2606"/>
    </cacheField>
    <cacheField name="Net Development Expenditure" numFmtId="164">
      <sharedItems containsSemiMixedTypes="0" containsString="0" containsNumber="1" containsInteger="1" minValue="38451" maxValue="75000"/>
    </cacheField>
    <cacheField name="COVID-19 Fund" numFmtId="164">
      <sharedItems containsSemiMixedTypes="0" containsString="0" containsNumber="1" containsInteger="1" minValue="0" maxValue="39000"/>
    </cacheField>
    <cacheField name="Overall Surplus _x000a_/ Deficit (-)" numFmtId="3">
      <sharedItems containsSemiMixedTypes="0" containsString="0" containsNumber="1" containsInteger="1" minValue="-98777" maxValue="-37194"/>
    </cacheField>
    <cacheField name="Gross Domestic Borrowing" numFmtId="0">
      <sharedItems containsSemiMixedTypes="0" containsString="0" containsNumber="1" containsInteger="1" minValue="0" maxValue="205500"/>
    </cacheField>
    <cacheField name="Less: Domestic Repayment" numFmtId="0">
      <sharedItems containsSemiMixedTypes="0" containsString="0" containsNumber="1" containsInteger="1" minValue="0" maxValue="106700"/>
    </cacheField>
    <cacheField name="Net Domestic Borrowing" numFmtId="0">
      <sharedItems containsSemiMixedTypes="0" containsString="0" containsNumber="1" containsInteger="1" minValue="0" maxValue="98800"/>
    </cacheField>
    <cacheField name="Gross Foreign Borrowing" numFmtId="0">
      <sharedItems containsSemiMixedTypes="0" containsString="0" containsNumber="1" containsInteger="1" minValue="0" maxValue="7304"/>
    </cacheField>
    <cacheField name="Less: Foreign Repayment" numFmtId="0">
      <sharedItems containsSemiMixedTypes="0" containsString="0" containsNumber="1" containsInteger="1" minValue="0" maxValue="5619"/>
    </cacheField>
    <cacheField name="Net Foreign Borrowing" numFmtId="0">
      <sharedItems containsSemiMixedTypes="0" containsString="0" containsNumber="1" containsInteger="1" minValue="-357" maxValue="6977"/>
    </cacheField>
    <cacheField name="Use of _x000a_Assets" numFmtId="0">
      <sharedItems containsSemiMixedTypes="0" containsString="0" containsNumber="1" minValue="-3110" maxValue="11924.65176346"/>
    </cacheField>
  </cacheFields>
  <extLst>
    <ext xmlns:x14="http://schemas.microsoft.com/office/spreadsheetml/2009/9/main" uri="{725AE2AE-9491-48be-B2B4-4EB974FC3084}">
      <x14:pivotCacheDefinition pivotCacheId="5558713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ithis Velan" refreshedDate="45689.102871643518" createdVersion="8" refreshedVersion="8" minRefreshableVersion="3" recordCount="13" xr:uid="{3A49C39B-C90E-4078-B434-6E7FD40A2058}">
  <cacheSource type="worksheet">
    <worksheetSource ref="A1:J14" sheet="F.G Operating Expenditure"/>
  </cacheSource>
  <cacheFields count="10">
    <cacheField name="_x000a_Year" numFmtId="0">
      <sharedItems containsSemiMixedTypes="0" containsString="0" containsNumber="1" containsInteger="1" minValue="2010" maxValue="2022" count="13">
        <n v="2010"/>
        <n v="2011"/>
        <n v="2012"/>
        <n v="2013"/>
        <n v="2014"/>
        <n v="2015"/>
        <n v="2016"/>
        <n v="2017"/>
        <n v="2018"/>
        <n v="2019"/>
        <n v="2020"/>
        <n v="2021"/>
        <n v="2022"/>
      </sharedItems>
    </cacheField>
    <cacheField name="Emoluments" numFmtId="164">
      <sharedItems containsSemiMixedTypes="0" containsString="0" containsNumber="1" containsInteger="1" minValue="46663" maxValue="86510" count="13">
        <n v="46663"/>
        <n v="50148"/>
        <n v="60016"/>
        <n v="61001"/>
        <n v="66947"/>
        <n v="70050"/>
        <n v="73108"/>
        <n v="77036"/>
        <n v="79989"/>
        <n v="80534"/>
        <n v="82996"/>
        <n v="84529"/>
        <n v="86510"/>
      </sharedItems>
    </cacheField>
    <cacheField name="Pension and gratuities" numFmtId="164">
      <sharedItems containsSemiMixedTypes="0" containsString="0" containsNumber="1" containsInteger="1" minValue="11515" maxValue="28067" count="13">
        <n v="11515"/>
        <n v="13565"/>
        <n v="14079"/>
        <n v="14842"/>
        <n v="18218"/>
        <n v="18872"/>
        <n v="21029"/>
        <n v="22800"/>
        <n v="25177"/>
        <n v="25894"/>
        <n v="27533"/>
        <n v="27581"/>
        <n v="28067"/>
      </sharedItems>
    </cacheField>
    <cacheField name="Debt service _x000a_charges" numFmtId="3">
      <sharedItems containsSemiMixedTypes="0" containsString="0" containsNumber="1" containsInteger="1" minValue="15621" maxValue="43100"/>
    </cacheField>
    <cacheField name="Supplies and services" numFmtId="164">
      <sharedItems containsSemiMixedTypes="0" containsString="0" containsNumber="1" containsInteger="1" minValue="23265" maxValue="36373"/>
    </cacheField>
    <cacheField name="Subsidies" numFmtId="3">
      <sharedItems containsSemiMixedTypes="0" containsString="0" containsNumber="1" containsInteger="1" minValue="16701" maxValue="44075"/>
    </cacheField>
    <cacheField name="Asset _x000a_acquisition" numFmtId="164">
      <sharedItems containsSemiMixedTypes="0" containsString="0" containsNumber="1" containsInteger="1" minValue="415" maxValue="2665"/>
    </cacheField>
    <cacheField name="Grants and transfers" numFmtId="164">
      <sharedItems containsSemiMixedTypes="0" containsString="0" containsNumber="1" containsInteger="1" minValue="17096" maxValue="22883"/>
    </cacheField>
    <cacheField name="Other expenditure" numFmtId="0">
      <sharedItems containsSemiMixedTypes="0" containsString="0" containsNumber="1" containsInteger="1" minValue="5578" maxValue="46450"/>
    </cacheField>
    <cacheField name="Total" numFmtId="3">
      <sharedItems containsSemiMixedTypes="0" containsString="0" containsNumber="1" containsInteger="1" minValue="151633" maxValue="263343"/>
    </cacheField>
  </cacheFields>
  <extLst>
    <ext xmlns:x14="http://schemas.microsoft.com/office/spreadsheetml/2009/9/main" uri="{725AE2AE-9491-48be-B2B4-4EB974FC3084}">
      <x14:pivotCacheDefinition pivotCacheId="148507140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ithis Velan" refreshedDate="45689.11311215278" createdVersion="8" refreshedVersion="8" minRefreshableVersion="3" recordCount="13" xr:uid="{9D9F1EAE-C90D-417A-A9C4-9CDD18BF908E}">
  <cacheSource type="worksheet">
    <worksheetSource ref="A1:O14" sheet="F.G Development Expenditure"/>
  </cacheSource>
  <cacheFields count="15">
    <cacheField name="_x000a_Year" numFmtId="0">
      <sharedItems containsSemiMixedTypes="0" containsString="0" containsNumber="1" containsInteger="1" minValue="2010" maxValue="2022" count="13">
        <n v="2010"/>
        <n v="2011"/>
        <n v="2012"/>
        <n v="2013"/>
        <n v="2014"/>
        <n v="2015"/>
        <n v="2016"/>
        <n v="2017"/>
        <n v="2018"/>
        <n v="2019"/>
        <n v="2020"/>
        <n v="2021"/>
        <n v="2022"/>
      </sharedItems>
    </cacheField>
    <cacheField name="Agriculture _x000a_and rural development" numFmtId="0">
      <sharedItems containsSemiMixedTypes="0" containsString="0" containsNumber="1" containsInteger="1" minValue="1128" maxValue="3105"/>
    </cacheField>
    <cacheField name="Trade and industry              " numFmtId="0">
      <sharedItems containsSemiMixedTypes="0" containsString="0" containsNumber="1" containsInteger="1" minValue="2087" maxValue="8364"/>
    </cacheField>
    <cacheField name="Transport" numFmtId="0">
      <sharedItems containsSemiMixedTypes="0" containsString="0" containsNumber="1" containsInteger="1" minValue="6693" maxValue="17004"/>
    </cacheField>
    <cacheField name="Energy and public utilities" numFmtId="0">
      <sharedItems containsSemiMixedTypes="0" containsString="0" containsNumber="1" containsInteger="1" minValue="2254" maxValue="6013"/>
    </cacheField>
    <cacheField name="Others" numFmtId="0">
      <sharedItems containsSemiMixedTypes="0" containsString="0" containsNumber="1" containsInteger="1" minValue="2263" maxValue="16582"/>
    </cacheField>
    <cacheField name="Sub-total" numFmtId="0">
      <sharedItems containsSemiMixedTypes="0" containsString="0" containsNumber="1" containsInteger="1" minValue="23286" maxValue="40205"/>
    </cacheField>
    <cacheField name="Education" numFmtId="0">
      <sharedItems containsSemiMixedTypes="0" containsString="0" containsNumber="1" containsInteger="1" minValue="3727" maxValue="12046"/>
    </cacheField>
    <cacheField name="Health" numFmtId="0">
      <sharedItems containsSemiMixedTypes="0" containsString="0" containsNumber="1" containsInteger="1" minValue="1385" maxValue="4457"/>
    </cacheField>
    <cacheField name="Housing" numFmtId="0">
      <sharedItems containsSemiMixedTypes="0" containsString="0" containsNumber="1" containsInteger="1" minValue="524" maxValue="2238"/>
    </cacheField>
    <cacheField name="Social and community services" numFmtId="0">
      <sharedItems containsSemiMixedTypes="0" containsString="0" containsNumber="1" containsInteger="1" minValue="1856" maxValue="4488"/>
    </cacheField>
    <cacheField name="Sub-total2" numFmtId="0">
      <sharedItems containsSemiMixedTypes="0" containsString="0" containsNumber="1" containsInteger="1" minValue="10429" maxValue="22671"/>
    </cacheField>
    <cacheField name="Defence and security" numFmtId="0">
      <sharedItems containsSemiMixedTypes="0" containsString="0" containsNumber="1" containsInteger="1" minValue="3970" maxValue="8970"/>
    </cacheField>
    <cacheField name="General administration" numFmtId="3">
      <sharedItems containsSemiMixedTypes="0" containsString="0" containsNumber="1" containsInteger="1" minValue="1085" maxValue="3754"/>
    </cacheField>
    <cacheField name="Total" numFmtId="0">
      <sharedItems containsSemiMixedTypes="0" containsString="0" containsNumber="1" containsInteger="1" minValue="39503" maxValue="75600"/>
    </cacheField>
  </cacheFields>
  <extLst>
    <ext xmlns:x14="http://schemas.microsoft.com/office/spreadsheetml/2009/9/main" uri="{725AE2AE-9491-48be-B2B4-4EB974FC3084}">
      <x14:pivotCacheDefinition pivotCacheId="15495388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x v="0"/>
    <n v="151633"/>
    <n v="8020"/>
    <n v="52792"/>
    <n v="1496"/>
    <n v="51296"/>
    <n v="0"/>
    <n v="-43275"/>
    <n v="60499"/>
    <n v="24043"/>
    <n v="36456"/>
    <n v="4495"/>
    <n v="831"/>
    <n v="3664"/>
    <n v="3125"/>
  </r>
  <r>
    <x v="1"/>
    <x v="1"/>
    <n v="182593"/>
    <n v="2826"/>
    <n v="46416"/>
    <n v="1082"/>
    <n v="45334"/>
    <n v="0"/>
    <n v="-42509"/>
    <n v="93312"/>
    <n v="48244"/>
    <n v="45069"/>
    <n v="6469"/>
    <n v="5619"/>
    <n v="850"/>
    <n v="-3110"/>
  </r>
  <r>
    <x v="2"/>
    <x v="2"/>
    <n v="205537"/>
    <n v="2376"/>
    <n v="46932"/>
    <n v="2606"/>
    <n v="44326"/>
    <n v="0"/>
    <n v="-41950"/>
    <n v="96244"/>
    <n v="52900"/>
    <n v="43334"/>
    <n v="684"/>
    <n v="697"/>
    <n v="-13"/>
    <n v="-2899"/>
  </r>
  <r>
    <x v="3"/>
    <x v="3"/>
    <n v="211270"/>
    <n v="2100"/>
    <n v="42210"/>
    <n v="1526"/>
    <n v="40683"/>
    <n v="0"/>
    <n v="-38584"/>
    <n v="100457"/>
    <n v="60931"/>
    <n v="39526"/>
    <n v="413"/>
    <n v="634"/>
    <n v="-221"/>
    <n v="-747"/>
  </r>
  <r>
    <x v="4"/>
    <x v="4"/>
    <n v="219589"/>
    <n v="1037"/>
    <n v="39503"/>
    <n v="1052"/>
    <n v="38451"/>
    <n v="0"/>
    <n v="-37414"/>
    <n v="90740"/>
    <n v="53183"/>
    <n v="37557"/>
    <n v="277"/>
    <n v="634"/>
    <n v="-357"/>
    <n v="214"/>
  </r>
  <r>
    <x v="5"/>
    <x v="5"/>
    <n v="216998"/>
    <n v="2091"/>
    <n v="40768"/>
    <n v="1483"/>
    <n v="39285"/>
    <n v="0"/>
    <n v="-37194"/>
    <n v="92500"/>
    <n v="53569"/>
    <n v="38931"/>
    <n v="5559"/>
    <n v="4833"/>
    <n v="726"/>
    <n v="-2463"/>
  </r>
  <r>
    <x v="6"/>
    <x v="6"/>
    <n v="210173"/>
    <n v="2248"/>
    <n v="41995"/>
    <n v="1346"/>
    <n v="40649"/>
    <n v="0"/>
    <n v="-38401"/>
    <n v="86000"/>
    <n v="48141"/>
    <n v="37859"/>
    <n v="5982"/>
    <n v="5148"/>
    <n v="834"/>
    <n v="-292"/>
  </r>
  <r>
    <x v="7"/>
    <x v="7"/>
    <n v="217695"/>
    <n v="2711"/>
    <n v="44884"/>
    <n v="1852"/>
    <n v="43032"/>
    <n v="0"/>
    <n v="-40321"/>
    <n v="113916"/>
    <n v="73166"/>
    <n v="40750"/>
    <n v="63"/>
    <n v="405"/>
    <n v="-342"/>
    <n v="-87"/>
  </r>
  <r>
    <x v="8"/>
    <x v="8"/>
    <n v="230960"/>
    <n v="1922"/>
    <n v="56095"/>
    <n v="788"/>
    <n v="55307"/>
    <n v="0"/>
    <n v="-53385"/>
    <n v="112800"/>
    <n v="60827"/>
    <n v="51973"/>
    <n v="67"/>
    <n v="360"/>
    <n v="-320"/>
    <n v="1731.96087393998"/>
  </r>
  <r>
    <x v="9"/>
    <x v="9"/>
    <n v="263343"/>
    <n v="1072"/>
    <n v="54173"/>
    <n v="1603"/>
    <n v="52570"/>
    <n v="0"/>
    <n v="-51498"/>
    <n v="127478"/>
    <n v="82723"/>
    <n v="44755"/>
    <n v="7304"/>
    <n v="327"/>
    <n v="6977"/>
    <n v="-2166.1676830300298"/>
  </r>
  <r>
    <x v="10"/>
    <x v="10"/>
    <n v="224600"/>
    <n v="476"/>
    <n v="51360"/>
    <n v="1259"/>
    <n v="50101"/>
    <n v="38019"/>
    <n v="-87644"/>
    <n v="181067"/>
    <n v="94146"/>
    <n v="86921"/>
    <n v="0"/>
    <n v="331"/>
    <n v="-331"/>
    <n v="11924.65176346"/>
  </r>
  <r>
    <x v="11"/>
    <x v="11"/>
    <n v="219600"/>
    <n v="1243"/>
    <n v="62000"/>
    <n v="800"/>
    <n v="61200"/>
    <n v="39000"/>
    <n v="-98777"/>
    <n v="205500"/>
    <n v="106700"/>
    <n v="98800"/>
    <n v="5277"/>
    <n v="3676"/>
    <n v="1601"/>
    <n v="0"/>
  </r>
  <r>
    <x v="12"/>
    <x v="12"/>
    <n v="233500"/>
    <n v="511"/>
    <n v="75600"/>
    <n v="600"/>
    <n v="75000"/>
    <n v="23000"/>
    <n v="-97489"/>
    <n v="0"/>
    <n v="0"/>
    <n v="0"/>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x v="0"/>
    <x v="0"/>
    <n v="15621"/>
    <n v="23841"/>
    <n v="23106"/>
    <n v="1869"/>
    <n v="17096"/>
    <n v="11921"/>
    <n v="151633"/>
  </r>
  <r>
    <x v="1"/>
    <x v="1"/>
    <x v="1"/>
    <n v="17716"/>
    <n v="28949"/>
    <n v="36256"/>
    <n v="2665"/>
    <n v="19307"/>
    <n v="13989"/>
    <n v="182594"/>
  </r>
  <r>
    <x v="2"/>
    <x v="2"/>
    <x v="2"/>
    <n v="19537"/>
    <n v="31963"/>
    <n v="44075"/>
    <n v="1770"/>
    <n v="21661"/>
    <n v="12436"/>
    <n v="205537"/>
  </r>
  <r>
    <x v="3"/>
    <x v="3"/>
    <x v="3"/>
    <n v="20776"/>
    <n v="33860"/>
    <n v="43349"/>
    <n v="1415"/>
    <n v="20807"/>
    <n v="15220"/>
    <n v="211270"/>
  </r>
  <r>
    <x v="4"/>
    <x v="4"/>
    <x v="4"/>
    <n v="22588"/>
    <n v="34259"/>
    <n v="39703"/>
    <n v="1802"/>
    <n v="22883"/>
    <n v="13189"/>
    <n v="219589"/>
  </r>
  <r>
    <x v="5"/>
    <x v="5"/>
    <x v="5"/>
    <n v="24283"/>
    <n v="36373"/>
    <n v="27269"/>
    <n v="1723"/>
    <n v="22407"/>
    <n v="16021"/>
    <n v="216998"/>
  </r>
  <r>
    <x v="6"/>
    <x v="6"/>
    <x v="6"/>
    <n v="26480"/>
    <n v="30070"/>
    <n v="24690"/>
    <n v="676"/>
    <n v="21755"/>
    <n v="12365"/>
    <n v="210173"/>
  </r>
  <r>
    <x v="7"/>
    <x v="7"/>
    <x v="7"/>
    <n v="27863"/>
    <n v="34738"/>
    <n v="22354"/>
    <n v="516"/>
    <n v="21153"/>
    <n v="11235"/>
    <n v="217695"/>
  </r>
  <r>
    <x v="8"/>
    <x v="8"/>
    <x v="8"/>
    <n v="30547"/>
    <n v="35283"/>
    <n v="27516"/>
    <n v="447"/>
    <n v="21368"/>
    <n v="10633"/>
    <n v="230960"/>
  </r>
  <r>
    <x v="9"/>
    <x v="9"/>
    <x v="9"/>
    <n v="32933"/>
    <n v="31507"/>
    <n v="23901"/>
    <n v="770"/>
    <n v="21354"/>
    <n v="46450"/>
    <n v="263343"/>
  </r>
  <r>
    <x v="10"/>
    <x v="10"/>
    <x v="10"/>
    <n v="34945"/>
    <n v="29323"/>
    <n v="19769"/>
    <n v="631"/>
    <n v="17960"/>
    <n v="11443"/>
    <n v="224600"/>
  </r>
  <r>
    <x v="11"/>
    <x v="11"/>
    <x v="11"/>
    <n v="39000"/>
    <n v="23265"/>
    <n v="16701"/>
    <n v="415"/>
    <n v="20935"/>
    <n v="7174"/>
    <n v="219600"/>
  </r>
  <r>
    <x v="12"/>
    <x v="12"/>
    <x v="12"/>
    <n v="43100"/>
    <n v="30367"/>
    <n v="17352"/>
    <n v="533"/>
    <n v="21993"/>
    <n v="5578"/>
    <n v="2335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n v="2920"/>
    <n v="6987"/>
    <n v="8665"/>
    <n v="5286"/>
    <n v="2263"/>
    <n v="26121"/>
    <n v="12046"/>
    <n v="3780"/>
    <n v="1333"/>
    <n v="3625"/>
    <n v="20784"/>
    <n v="3970"/>
    <n v="1917"/>
    <n v="52792"/>
  </r>
  <r>
    <x v="1"/>
    <n v="1128"/>
    <n v="8364"/>
    <n v="10140"/>
    <n v="6013"/>
    <n v="2511"/>
    <n v="28156"/>
    <n v="7735"/>
    <n v="2207"/>
    <n v="762"/>
    <n v="1903"/>
    <n v="12607"/>
    <n v="4569"/>
    <n v="1085"/>
    <n v="46416"/>
  </r>
  <r>
    <x v="2"/>
    <n v="1906"/>
    <n v="5043"/>
    <n v="10065"/>
    <n v="5519"/>
    <n v="6403"/>
    <n v="28936"/>
    <n v="7550"/>
    <n v="1864"/>
    <n v="524"/>
    <n v="2462"/>
    <n v="12399"/>
    <n v="4409"/>
    <n v="1187"/>
    <n v="46932"/>
  </r>
  <r>
    <x v="3"/>
    <n v="2692"/>
    <n v="6244"/>
    <n v="8152"/>
    <n v="3332"/>
    <n v="4226"/>
    <n v="24646"/>
    <n v="6438"/>
    <n v="1738"/>
    <n v="852"/>
    <n v="1856"/>
    <n v="10884"/>
    <n v="4649"/>
    <n v="2032"/>
    <n v="42210"/>
  </r>
  <r>
    <x v="4"/>
    <n v="2875"/>
    <n v="4688"/>
    <n v="7270"/>
    <n v="3485"/>
    <n v="5019"/>
    <n v="23337"/>
    <n v="4928"/>
    <n v="1385"/>
    <n v="618"/>
    <n v="3559"/>
    <n v="10490"/>
    <n v="4332"/>
    <n v="1344"/>
    <n v="39503"/>
  </r>
  <r>
    <x v="5"/>
    <n v="3105"/>
    <n v="5638"/>
    <n v="6693"/>
    <n v="3637"/>
    <n v="4213"/>
    <n v="23286"/>
    <n v="4758"/>
    <n v="1442"/>
    <n v="2008"/>
    <n v="2952"/>
    <n v="11160"/>
    <n v="4754"/>
    <n v="1568"/>
    <n v="40768"/>
  </r>
  <r>
    <x v="6"/>
    <n v="2902"/>
    <n v="4841"/>
    <n v="7827"/>
    <n v="2927"/>
    <n v="6616"/>
    <n v="25113"/>
    <n v="3727"/>
    <n v="1495"/>
    <n v="2238"/>
    <n v="2969"/>
    <n v="10429"/>
    <n v="4832"/>
    <n v="1621"/>
    <n v="41995"/>
  </r>
  <r>
    <x v="7"/>
    <n v="2219"/>
    <n v="3800"/>
    <n v="10429"/>
    <n v="2475"/>
    <n v="5263"/>
    <n v="24186"/>
    <n v="6306"/>
    <n v="1470"/>
    <n v="785"/>
    <n v="3864"/>
    <n v="12425"/>
    <n v="5334"/>
    <n v="2939"/>
    <n v="44884"/>
  </r>
  <r>
    <x v="8"/>
    <n v="2133"/>
    <n v="2512"/>
    <n v="17004"/>
    <n v="2254"/>
    <n v="12200"/>
    <n v="36103"/>
    <n v="6505"/>
    <n v="1773"/>
    <n v="1285"/>
    <n v="3310"/>
    <n v="12873"/>
    <n v="4929"/>
    <n v="2190"/>
    <n v="56095"/>
  </r>
  <r>
    <x v="9"/>
    <n v="2314"/>
    <n v="3054"/>
    <n v="13750"/>
    <n v="2760"/>
    <n v="9422"/>
    <n v="31300"/>
    <n v="7629"/>
    <n v="1827"/>
    <n v="2126"/>
    <n v="2902"/>
    <n v="14484"/>
    <n v="5615"/>
    <n v="2775"/>
    <n v="54173"/>
  </r>
  <r>
    <x v="10"/>
    <n v="2003"/>
    <n v="2576"/>
    <n v="12779"/>
    <n v="2315"/>
    <n v="9039"/>
    <n v="28712"/>
    <n v="6737"/>
    <n v="3983"/>
    <n v="1015"/>
    <n v="2092"/>
    <n v="13827"/>
    <n v="5785"/>
    <n v="3036"/>
    <n v="51360"/>
  </r>
  <r>
    <x v="11"/>
    <n v="2815"/>
    <n v="2365"/>
    <n v="13014"/>
    <n v="2976"/>
    <n v="12597"/>
    <n v="33767"/>
    <n v="8118"/>
    <n v="4397"/>
    <n v="1582"/>
    <n v="3250"/>
    <n v="17347"/>
    <n v="7317"/>
    <n v="3569"/>
    <n v="62000"/>
  </r>
  <r>
    <x v="12"/>
    <n v="2860"/>
    <n v="2087"/>
    <n v="15509"/>
    <n v="3167"/>
    <n v="16582"/>
    <n v="40205"/>
    <n v="11955"/>
    <n v="4457"/>
    <n v="1771"/>
    <n v="4488"/>
    <n v="22671"/>
    <n v="8970"/>
    <n v="3754"/>
    <n v="75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71F56F-986C-413B-9591-669A377CA5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3:C17" firstHeaderRow="1" firstDataRow="1" firstDataCol="1"/>
  <pivotFields count="16">
    <pivotField axis="axisRow" showAll="0">
      <items count="14">
        <item x="0"/>
        <item x="1"/>
        <item x="2"/>
        <item x="3"/>
        <item x="4"/>
        <item x="5"/>
        <item x="6"/>
        <item x="7"/>
        <item x="8"/>
        <item x="9"/>
        <item x="10"/>
        <item x="11"/>
        <item x="12"/>
        <item t="default"/>
      </items>
    </pivotField>
    <pivotField dataField="1" numFmtId="164" showAll="0">
      <items count="14">
        <item x="0"/>
        <item x="1"/>
        <item x="2"/>
        <item x="6"/>
        <item x="3"/>
        <item x="5"/>
        <item x="7"/>
        <item x="4"/>
        <item x="11"/>
        <item x="10"/>
        <item x="8"/>
        <item x="12"/>
        <item x="9"/>
        <item t="default"/>
      </items>
    </pivotField>
    <pivotField numFmtId="164" showAll="0"/>
    <pivotField numFmtId="164" showAll="0"/>
    <pivotField numFmtId="164" showAll="0"/>
    <pivotField numFmtId="164" showAll="0"/>
    <pivotField numFmtId="164" showAll="0"/>
    <pivotField numFmtId="164" showAll="0"/>
    <pivotField numFmtId="3" showAll="0"/>
    <pivotField showAll="0"/>
    <pivotField showAll="0"/>
    <pivotField showAll="0"/>
    <pivotField showAll="0"/>
    <pivotField showAll="0"/>
    <pivotField showAll="0"/>
    <pivotField showAll="0"/>
  </pivotFields>
  <rowFields count="1">
    <field x="0"/>
  </rowFields>
  <rowItems count="14">
    <i>
      <x/>
    </i>
    <i>
      <x v="1"/>
    </i>
    <i>
      <x v="2"/>
    </i>
    <i>
      <x v="3"/>
    </i>
    <i>
      <x v="4"/>
    </i>
    <i>
      <x v="5"/>
    </i>
    <i>
      <x v="6"/>
    </i>
    <i>
      <x v="7"/>
    </i>
    <i>
      <x v="8"/>
    </i>
    <i>
      <x v="9"/>
    </i>
    <i>
      <x v="10"/>
    </i>
    <i>
      <x v="11"/>
    </i>
    <i>
      <x v="12"/>
    </i>
    <i t="grand">
      <x/>
    </i>
  </rowItems>
  <colItems count="1">
    <i/>
  </colItems>
  <dataFields count="1">
    <dataField name="Sum of Revenue" fld="1" baseField="0" baseItem="0" numFmtId="164"/>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9"/>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0" count="1" selected="0">
            <x v="0"/>
          </reference>
        </references>
      </pivotArea>
    </chartFormat>
    <chartFormat chart="5" format="11">
      <pivotArea type="data" outline="0" fieldPosition="0">
        <references count="2">
          <reference field="4294967294" count="1" selected="0">
            <x v="0"/>
          </reference>
          <reference field="0" count="1" selected="0">
            <x v="9"/>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0" count="1" selected="0">
            <x v="0"/>
          </reference>
        </references>
      </pivotArea>
    </chartFormat>
    <chartFormat chart="19" format="8">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76C6CF-0E4A-4B50-87D6-1F592DE8D8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D17" firstHeaderRow="0" firstDataRow="1" firstDataCol="1"/>
  <pivotFields count="16">
    <pivotField axis="axisRow" showAll="0">
      <items count="14">
        <item x="0"/>
        <item x="1"/>
        <item x="2"/>
        <item x="3"/>
        <item x="4"/>
        <item x="5"/>
        <item x="6"/>
        <item x="7"/>
        <item x="8"/>
        <item x="9"/>
        <item x="10"/>
        <item x="11"/>
        <item x="12"/>
        <item t="default"/>
      </items>
    </pivotField>
    <pivotField numFmtId="164" showAll="0">
      <items count="14">
        <item x="0"/>
        <item x="1"/>
        <item x="2"/>
        <item x="6"/>
        <item x="3"/>
        <item x="5"/>
        <item x="7"/>
        <item x="4"/>
        <item x="11"/>
        <item x="10"/>
        <item x="8"/>
        <item x="12"/>
        <item x="9"/>
        <item t="default"/>
      </items>
    </pivotField>
    <pivotField dataField="1" numFmtId="164" showAll="0"/>
    <pivotField numFmtId="164" showAll="0"/>
    <pivotField dataField="1" numFmtId="164" showAll="0"/>
    <pivotField numFmtId="164" showAll="0"/>
    <pivotField numFmtId="164" showAll="0"/>
    <pivotField numFmtId="164" showAll="0"/>
    <pivotField numFmtId="3" showAll="0"/>
    <pivotField showAll="0"/>
    <pivotField showAll="0"/>
    <pivotField showAll="0"/>
    <pivotField showAll="0"/>
    <pivotField showAll="0"/>
    <pivotField showAll="0"/>
    <pivotField showAll="0"/>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Gross Development Expenditure" fld="4" baseField="0" baseItem="0" numFmtId="164"/>
    <dataField name="Sum of Operating Expenditure" fld="2" baseField="0" baseItem="0" numFmtId="164"/>
  </dataFields>
  <chartFormats count="8">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2"/>
          </reference>
        </references>
      </pivotArea>
    </chartFormat>
    <chartFormat chart="2" format="6" series="1">
      <pivotArea type="data" outline="0" fieldPosition="0">
        <references count="1">
          <reference field="4294967294" count="1" selected="0">
            <x v="1"/>
          </reference>
        </references>
      </pivotArea>
    </chartFormat>
    <chartFormat chart="2" format="7">
      <pivotArea type="data" outline="0" fieldPosition="0">
        <references count="2">
          <reference field="4294967294" count="1" selected="0">
            <x v="1"/>
          </reference>
          <reference field="0" count="1" selected="0">
            <x v="9"/>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0" count="1" selected="0">
            <x v="12"/>
          </reference>
        </references>
      </pivotArea>
    </chartFormat>
    <chartFormat chart="7" format="14" series="1">
      <pivotArea type="data" outline="0" fieldPosition="0">
        <references count="1">
          <reference field="4294967294" count="1" selected="0">
            <x v="1"/>
          </reference>
        </references>
      </pivotArea>
    </chartFormat>
    <chartFormat chart="7" format="15">
      <pivotArea type="data" outline="0" fieldPosition="0">
        <references count="2">
          <reference field="4294967294" count="1" selected="0">
            <x v="1"/>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81B56E-7DB2-4723-8038-9F87770227F3}" name="PivotTable11" cacheId="1" dataOnRows="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B3:C12" firstHeaderRow="1" firstDataRow="2" firstDataCol="1"/>
  <pivotFields count="10">
    <pivotField axis="axisCol" showAll="0">
      <items count="14">
        <item h="1" x="0"/>
        <item h="1" x="1"/>
        <item h="1" x="2"/>
        <item h="1" x="3"/>
        <item h="1" x="4"/>
        <item h="1" x="5"/>
        <item h="1" x="6"/>
        <item h="1" x="7"/>
        <item h="1" x="8"/>
        <item x="9"/>
        <item h="1" x="10"/>
        <item h="1" x="11"/>
        <item h="1" x="12"/>
        <item t="default"/>
      </items>
    </pivotField>
    <pivotField dataField="1" numFmtId="164" showAll="0">
      <items count="14">
        <item x="0"/>
        <item x="1"/>
        <item x="2"/>
        <item x="3"/>
        <item x="4"/>
        <item x="5"/>
        <item x="6"/>
        <item x="7"/>
        <item x="8"/>
        <item x="9"/>
        <item x="10"/>
        <item x="11"/>
        <item x="12"/>
        <item t="default"/>
      </items>
    </pivotField>
    <pivotField dataField="1" numFmtId="164" showAll="0">
      <items count="14">
        <item x="0"/>
        <item x="1"/>
        <item x="2"/>
        <item x="3"/>
        <item x="4"/>
        <item x="5"/>
        <item x="6"/>
        <item x="7"/>
        <item x="8"/>
        <item x="9"/>
        <item x="10"/>
        <item x="11"/>
        <item x="12"/>
        <item t="default"/>
      </items>
    </pivotField>
    <pivotField dataField="1" numFmtId="3" showAll="0"/>
    <pivotField dataField="1" numFmtId="164" showAll="0"/>
    <pivotField dataField="1" numFmtId="3" showAll="0"/>
    <pivotField dataField="1" numFmtId="164" showAll="0"/>
    <pivotField dataField="1" numFmtId="164" showAll="0"/>
    <pivotField dataField="1" showAll="0"/>
    <pivotField numFmtId="3" showAll="0"/>
  </pivotFields>
  <rowFields count="1">
    <field x="-2"/>
  </rowFields>
  <rowItems count="8">
    <i>
      <x/>
    </i>
    <i i="1">
      <x v="1"/>
    </i>
    <i i="2">
      <x v="2"/>
    </i>
    <i i="3">
      <x v="3"/>
    </i>
    <i i="4">
      <x v="4"/>
    </i>
    <i i="5">
      <x v="5"/>
    </i>
    <i i="6">
      <x v="6"/>
    </i>
    <i i="7">
      <x v="7"/>
    </i>
  </rowItems>
  <colFields count="1">
    <field x="0"/>
  </colFields>
  <colItems count="1">
    <i>
      <x v="9"/>
    </i>
  </colItems>
  <dataFields count="8">
    <dataField name=" Asset _x000a_acquisition" fld="6" baseField="0" baseItem="0" numFmtId="164"/>
    <dataField name=" Grants and transfers" fld="7" baseField="0" baseItem="0" numFmtId="164"/>
    <dataField name=" Subsidies" fld="5" baseField="0" baseItem="0" numFmtId="3"/>
    <dataField name=" Pension and gratuities" fld="2" baseField="0" baseItem="0" numFmtId="164"/>
    <dataField name=" Supplies and services" fld="4" baseField="0" baseItem="0" numFmtId="164"/>
    <dataField name=" Debt service " fld="3" baseField="0" baseItem="0" numFmtId="3"/>
    <dataField name=" Other expenditure" fld="8" baseField="0" baseItem="0"/>
    <dataField name=" Emoluments" fld="1" baseField="0" baseItem="0" numFmtId="164"/>
  </dataFields>
  <chartFormats count="19">
    <chartFormat chart="1" format="0" series="1">
      <pivotArea type="data" outline="0" fieldPosition="0">
        <references count="2">
          <reference field="4294967294" count="1" selected="0">
            <x v="5"/>
          </reference>
          <reference field="0" count="1" selected="0">
            <x v="0"/>
          </reference>
        </references>
      </pivotArea>
    </chartFormat>
    <chartFormat chart="1" format="1" series="1">
      <pivotArea type="data" outline="0" fieldPosition="0">
        <references count="2">
          <reference field="4294967294" count="1" selected="0">
            <x v="5"/>
          </reference>
          <reference field="0" count="1" selected="0">
            <x v="1"/>
          </reference>
        </references>
      </pivotArea>
    </chartFormat>
    <chartFormat chart="1" format="2" series="1">
      <pivotArea type="data" outline="0" fieldPosition="0">
        <references count="2">
          <reference field="4294967294" count="1" selected="0">
            <x v="5"/>
          </reference>
          <reference field="0" count="1" selected="0">
            <x v="2"/>
          </reference>
        </references>
      </pivotArea>
    </chartFormat>
    <chartFormat chart="1" format="3" series="1">
      <pivotArea type="data" outline="0" fieldPosition="0">
        <references count="2">
          <reference field="4294967294" count="1" selected="0">
            <x v="5"/>
          </reference>
          <reference field="0" count="1" selected="0">
            <x v="3"/>
          </reference>
        </references>
      </pivotArea>
    </chartFormat>
    <chartFormat chart="1" format="4" series="1">
      <pivotArea type="data" outline="0" fieldPosition="0">
        <references count="2">
          <reference field="4294967294" count="1" selected="0">
            <x v="5"/>
          </reference>
          <reference field="0" count="1" selected="0">
            <x v="4"/>
          </reference>
        </references>
      </pivotArea>
    </chartFormat>
    <chartFormat chart="1" format="5" series="1">
      <pivotArea type="data" outline="0" fieldPosition="0">
        <references count="2">
          <reference field="4294967294" count="1" selected="0">
            <x v="5"/>
          </reference>
          <reference field="0" count="1" selected="0">
            <x v="5"/>
          </reference>
        </references>
      </pivotArea>
    </chartFormat>
    <chartFormat chart="1" format="6" series="1">
      <pivotArea type="data" outline="0" fieldPosition="0">
        <references count="2">
          <reference field="4294967294" count="1" selected="0">
            <x v="5"/>
          </reference>
          <reference field="0" count="1" selected="0">
            <x v="6"/>
          </reference>
        </references>
      </pivotArea>
    </chartFormat>
    <chartFormat chart="1" format="7" series="1">
      <pivotArea type="data" outline="0" fieldPosition="0">
        <references count="2">
          <reference field="4294967294" count="1" selected="0">
            <x v="5"/>
          </reference>
          <reference field="0" count="1" selected="0">
            <x v="7"/>
          </reference>
        </references>
      </pivotArea>
    </chartFormat>
    <chartFormat chart="1" format="8" series="1">
      <pivotArea type="data" outline="0" fieldPosition="0">
        <references count="2">
          <reference field="4294967294" count="1" selected="0">
            <x v="5"/>
          </reference>
          <reference field="0" count="1" selected="0">
            <x v="8"/>
          </reference>
        </references>
      </pivotArea>
    </chartFormat>
    <chartFormat chart="1" format="9" series="1">
      <pivotArea type="data" outline="0" fieldPosition="0">
        <references count="2">
          <reference field="4294967294" count="1" selected="0">
            <x v="5"/>
          </reference>
          <reference field="0" count="1" selected="0">
            <x v="9"/>
          </reference>
        </references>
      </pivotArea>
    </chartFormat>
    <chartFormat chart="1" format="10" series="1">
      <pivotArea type="data" outline="0" fieldPosition="0">
        <references count="2">
          <reference field="4294967294" count="1" selected="0">
            <x v="5"/>
          </reference>
          <reference field="0" count="1" selected="0">
            <x v="10"/>
          </reference>
        </references>
      </pivotArea>
    </chartFormat>
    <chartFormat chart="1" format="11" series="1">
      <pivotArea type="data" outline="0" fieldPosition="0">
        <references count="2">
          <reference field="4294967294" count="1" selected="0">
            <x v="5"/>
          </reference>
          <reference field="0" count="1" selected="0">
            <x v="11"/>
          </reference>
        </references>
      </pivotArea>
    </chartFormat>
    <chartFormat chart="1" format="12" series="1">
      <pivotArea type="data" outline="0" fieldPosition="0">
        <references count="2">
          <reference field="4294967294" count="1" selected="0">
            <x v="5"/>
          </reference>
          <reference field="0" count="1" selected="0">
            <x v="12"/>
          </reference>
        </references>
      </pivotArea>
    </chartFormat>
    <chartFormat chart="1" format="13" series="1">
      <pivotArea type="data" outline="0" fieldPosition="0">
        <references count="1">
          <reference field="4294967294" count="1" selected="0">
            <x v="5"/>
          </reference>
        </references>
      </pivotArea>
    </chartFormat>
    <chartFormat chart="1" format="14" series="1">
      <pivotArea type="data" outline="0" fieldPosition="0">
        <references count="1">
          <reference field="4294967294" count="1" selected="0">
            <x v="7"/>
          </reference>
        </references>
      </pivotArea>
    </chartFormat>
    <chartFormat chart="1" format="15" series="1">
      <pivotArea type="data" outline="0" fieldPosition="0">
        <references count="1">
          <reference field="4294967294" count="1" selected="0">
            <x v="0"/>
          </reference>
        </references>
      </pivotArea>
    </chartFormat>
    <chartFormat chart="1" format="16">
      <pivotArea type="data" outline="0" fieldPosition="0">
        <references count="1">
          <reference field="4294967294" count="1" selected="0">
            <x v="7"/>
          </reference>
        </references>
      </pivotArea>
    </chartFormat>
    <chartFormat chart="4" format="18" series="1">
      <pivotArea type="data" outline="0" fieldPosition="0">
        <references count="1">
          <reference field="4294967294" count="1" selected="0">
            <x v="0"/>
          </reference>
        </references>
      </pivotArea>
    </chartFormat>
    <chartFormat chart="5"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C8FDEB-CDAB-4BDD-B8C6-BAD3371C1CD6}" name="PivotTable12" cacheId="2" dataOnRows="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B3:C15" firstHeaderRow="1" firstDataRow="2" firstDataCol="1"/>
  <pivotFields count="15">
    <pivotField axis="axisCol" showAll="0">
      <items count="14">
        <item h="1" x="0"/>
        <item h="1" x="1"/>
        <item h="1" x="2"/>
        <item h="1" x="3"/>
        <item h="1" x="4"/>
        <item h="1" x="5"/>
        <item h="1" x="6"/>
        <item h="1" x="7"/>
        <item h="1" x="8"/>
        <item h="1" x="9"/>
        <item h="1" x="10"/>
        <item h="1" x="11"/>
        <item x="12"/>
        <item t="default"/>
      </items>
    </pivotField>
    <pivotField dataField="1" showAll="0"/>
    <pivotField dataField="1" showAll="0"/>
    <pivotField dataField="1" showAll="0"/>
    <pivotField dataField="1" showAll="0"/>
    <pivotField dataField="1" showAll="0"/>
    <pivotField showAll="0"/>
    <pivotField dataField="1" showAll="0"/>
    <pivotField dataField="1" showAll="0"/>
    <pivotField dataField="1" showAll="0"/>
    <pivotField dataField="1" showAll="0"/>
    <pivotField showAll="0"/>
    <pivotField dataField="1" showAll="0"/>
    <pivotField dataField="1" numFmtId="3" showAll="0"/>
    <pivotField showAll="0"/>
  </pivotFields>
  <rowFields count="1">
    <field x="-2"/>
  </rowFields>
  <rowItems count="11">
    <i>
      <x/>
    </i>
    <i i="1">
      <x v="1"/>
    </i>
    <i i="2">
      <x v="2"/>
    </i>
    <i i="3">
      <x v="3"/>
    </i>
    <i i="4">
      <x v="4"/>
    </i>
    <i i="5">
      <x v="5"/>
    </i>
    <i i="6">
      <x v="6"/>
    </i>
    <i i="7">
      <x v="7"/>
    </i>
    <i i="8">
      <x v="8"/>
    </i>
    <i i="9">
      <x v="9"/>
    </i>
    <i i="10">
      <x v="10"/>
    </i>
  </rowItems>
  <colFields count="1">
    <field x="0"/>
  </colFields>
  <colItems count="1">
    <i>
      <x v="12"/>
    </i>
  </colItems>
  <dataFields count="11">
    <dataField name=" Housing" fld="9" baseField="0" baseItem="0"/>
    <dataField name=" Trade and industry              " fld="2" baseField="0" baseItem="0"/>
    <dataField name=" Agriculture _x000a_and rural development" fld="1" baseField="0" baseItem="0"/>
    <dataField name=" Energy and public utilities" fld="4" baseField="0" baseItem="0"/>
    <dataField name=" General administration" fld="13" baseField="0" baseItem="0" numFmtId="3"/>
    <dataField name=" Health" fld="8" baseField="0" baseItem="0"/>
    <dataField name=" Social and community services" fld="10" baseField="0" baseItem="0"/>
    <dataField name=" Defence and security" fld="12" baseField="0" baseItem="0"/>
    <dataField name=" Education" fld="7" baseField="0" baseItem="0"/>
    <dataField name=" Transport" fld="3" baseField="0" baseItem="0"/>
    <dataField name=" Others" fld="5" baseField="0" baseItem="0"/>
  </dataFields>
  <formats count="2">
    <format dxfId="1">
      <pivotArea outline="0" collapsedLevelsAreSubtotals="1" fieldPosition="0"/>
    </format>
    <format dxfId="0">
      <pivotArea dataOnly="0" labelOnly="1" outline="0" fieldPosition="0">
        <references count="1">
          <reference field="4294967294" count="11">
            <x v="0"/>
            <x v="1"/>
            <x v="2"/>
            <x v="3"/>
            <x v="4"/>
            <x v="5"/>
            <x v="6"/>
            <x v="7"/>
            <x v="8"/>
            <x v="9"/>
            <x v="10"/>
          </reference>
        </references>
      </pivotArea>
    </format>
  </formats>
  <chartFormats count="3">
    <chartFormat chart="0" format="0" series="1">
      <pivotArea type="data" outline="0" fieldPosition="0">
        <references count="1">
          <reference field="4294967294" count="1" selected="0">
            <x v="2"/>
          </reference>
        </references>
      </pivotArea>
    </chartFormat>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Year" xr10:uid="{510C6171-202C-42E8-BF07-6D61F3329AA3}" sourceName="_x000a_Year">
  <pivotTables>
    <pivotTable tabId="16" name="PivotTable11"/>
  </pivotTables>
  <data>
    <tabular pivotCacheId="1485071407">
      <items count="13">
        <i x="0"/>
        <i x="1"/>
        <i x="2"/>
        <i x="3"/>
        <i x="4"/>
        <i x="5"/>
        <i x="6"/>
        <i x="7"/>
        <i x="8"/>
        <i x="9" s="1"/>
        <i x="10"/>
        <i x="11"/>
        <i x="1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Year1" xr10:uid="{E79D7074-15BE-4539-8590-5D7175C96580}" sourceName="_x000a_Year">
  <pivotTables>
    <pivotTable tabId="17" name="PivotTable12"/>
  </pivotTables>
  <data>
    <tabular pivotCacheId="1549538815">
      <items count="13">
        <i x="0"/>
        <i x="1"/>
        <i x="2"/>
        <i x="3"/>
        <i x="4"/>
        <i x="5"/>
        <i x="6"/>
        <i x="7"/>
        <i x="8"/>
        <i x="9"/>
        <i x="10"/>
        <i x="11"/>
        <i x="1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_x000a_Year" xr10:uid="{E278202B-D5B3-4109-9B5E-FB135092C5BF}" cache="Slicer__Year" caption="_x000a_Year" columnCount="3" showCaption="0" rowHeight="25490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_x000a_Year 2" xr10:uid="{C3B8567B-5CA2-4329-B966-EFB2FE9311E3}" cache="Slicer__Year1" caption="_x000a_Year" columnCount="3" showCaption="0" rowHeight="25490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_x000a_Year 1" xr10:uid="{B2D17AE1-A3EC-4229-8161-250541EA400F}" cache="Slicer__Year" caption="_x000a_Year" columnCount="3" showCaption="0" rowHeight="254906"/>
  <slicer name="_x000a_Year 3" xr10:uid="{E7148F85-25AD-42DE-83ED-DE66FCEE39E2}" cache="Slicer__Year1" caption="_x000a_Year" columnCount="3" showCaption="0" rowHeight="25490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4" dT="2025-02-06T16:29:36.04" personId="{19E9842B-D3F7-429E-9658-1139B37F4191}" id="{428DD98A-DB27-42DF-BD36-9310E544294C}">
    <text>Covid-19 pandamic</text>
  </threadedComment>
</ThreadedComment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ivotTable" Target="../pivotTables/pivotTable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651FC-5A2F-4E38-9DD7-28A3887AF40E}">
  <dimension ref="A1:R19"/>
  <sheetViews>
    <sheetView workbookViewId="0">
      <selection sqref="A1:P14"/>
    </sheetView>
  </sheetViews>
  <sheetFormatPr defaultRowHeight="14.6" x14ac:dyDescent="0.4"/>
  <cols>
    <col min="10" max="10" width="11.23046875" bestFit="1" customWidth="1"/>
    <col min="11" max="12" width="10.23046875" bestFit="1" customWidth="1"/>
    <col min="16" max="16" width="10.23046875" bestFit="1" customWidth="1"/>
  </cols>
  <sheetData>
    <row r="1" spans="1:18" s="25" customFormat="1" ht="64.3" x14ac:dyDescent="0.4">
      <c r="A1" s="2" t="s">
        <v>0</v>
      </c>
      <c r="B1" s="2" t="s">
        <v>1</v>
      </c>
      <c r="C1" s="2" t="s">
        <v>31</v>
      </c>
      <c r="D1" s="2" t="s">
        <v>2</v>
      </c>
      <c r="E1" s="2" t="s">
        <v>3</v>
      </c>
      <c r="F1" s="2" t="s">
        <v>4</v>
      </c>
      <c r="G1" s="2" t="s">
        <v>5</v>
      </c>
      <c r="H1" s="2" t="s">
        <v>6</v>
      </c>
      <c r="I1" s="2" t="s">
        <v>7</v>
      </c>
      <c r="J1" s="17" t="s">
        <v>8</v>
      </c>
      <c r="K1" s="17" t="s">
        <v>9</v>
      </c>
      <c r="L1" s="17" t="s">
        <v>10</v>
      </c>
      <c r="M1" s="17" t="s">
        <v>11</v>
      </c>
      <c r="N1" s="17" t="s">
        <v>12</v>
      </c>
      <c r="O1" s="17" t="s">
        <v>13</v>
      </c>
      <c r="P1" s="2" t="s">
        <v>32</v>
      </c>
    </row>
    <row r="2" spans="1:18" x14ac:dyDescent="0.4">
      <c r="A2" s="3">
        <v>2010</v>
      </c>
      <c r="B2" s="4">
        <v>159653</v>
      </c>
      <c r="C2" s="4">
        <v>151633</v>
      </c>
      <c r="D2" s="4">
        <v>8020</v>
      </c>
      <c r="E2" s="4">
        <v>52792</v>
      </c>
      <c r="F2" s="4">
        <v>1496</v>
      </c>
      <c r="G2" s="4">
        <v>51296</v>
      </c>
      <c r="H2" s="30">
        <v>0</v>
      </c>
      <c r="I2" s="5">
        <v>-43275</v>
      </c>
      <c r="J2" s="6">
        <v>60499</v>
      </c>
      <c r="K2" s="6">
        <v>24043</v>
      </c>
      <c r="L2" s="6">
        <v>36456</v>
      </c>
      <c r="M2" s="6">
        <v>4495</v>
      </c>
      <c r="N2" s="6">
        <v>831</v>
      </c>
      <c r="O2" s="6">
        <v>3664</v>
      </c>
      <c r="P2" s="6">
        <v>3125</v>
      </c>
    </row>
    <row r="3" spans="1:18" x14ac:dyDescent="0.4">
      <c r="A3" s="3">
        <v>2011</v>
      </c>
      <c r="B3" s="4">
        <v>185419</v>
      </c>
      <c r="C3" s="4">
        <v>182593</v>
      </c>
      <c r="D3" s="4">
        <v>2826</v>
      </c>
      <c r="E3" s="4">
        <v>46416</v>
      </c>
      <c r="F3" s="4">
        <v>1082</v>
      </c>
      <c r="G3" s="4">
        <v>45334</v>
      </c>
      <c r="H3" s="30">
        <v>0</v>
      </c>
      <c r="I3" s="5">
        <v>-42509</v>
      </c>
      <c r="J3" s="6">
        <v>93312</v>
      </c>
      <c r="K3" s="6">
        <v>48244</v>
      </c>
      <c r="L3" s="6">
        <v>45069</v>
      </c>
      <c r="M3" s="6">
        <v>6469</v>
      </c>
      <c r="N3" s="6">
        <v>5619</v>
      </c>
      <c r="O3" s="6">
        <v>850</v>
      </c>
      <c r="P3" s="6">
        <v>-3110</v>
      </c>
    </row>
    <row r="4" spans="1:18" x14ac:dyDescent="0.4">
      <c r="A4" s="3">
        <v>2012</v>
      </c>
      <c r="B4" s="4">
        <v>207913</v>
      </c>
      <c r="C4" s="4">
        <v>205537</v>
      </c>
      <c r="D4" s="4">
        <v>2376</v>
      </c>
      <c r="E4" s="4">
        <v>46932</v>
      </c>
      <c r="F4" s="4">
        <v>2606</v>
      </c>
      <c r="G4" s="4">
        <v>44326</v>
      </c>
      <c r="H4" s="30">
        <v>0</v>
      </c>
      <c r="I4" s="5">
        <v>-41950</v>
      </c>
      <c r="J4" s="6">
        <v>96244</v>
      </c>
      <c r="K4" s="6">
        <v>52900</v>
      </c>
      <c r="L4" s="6">
        <v>43334</v>
      </c>
      <c r="M4" s="6">
        <v>684</v>
      </c>
      <c r="N4" s="6">
        <v>697</v>
      </c>
      <c r="O4" s="6">
        <v>-13</v>
      </c>
      <c r="P4" s="6">
        <v>-2899</v>
      </c>
    </row>
    <row r="5" spans="1:18" x14ac:dyDescent="0.4">
      <c r="A5" s="3">
        <v>2013</v>
      </c>
      <c r="B5" s="4">
        <v>213370</v>
      </c>
      <c r="C5" s="4">
        <v>211270</v>
      </c>
      <c r="D5" s="4">
        <v>2100</v>
      </c>
      <c r="E5" s="4">
        <v>42210</v>
      </c>
      <c r="F5" s="4">
        <v>1526</v>
      </c>
      <c r="G5" s="4">
        <v>40683</v>
      </c>
      <c r="H5" s="30">
        <v>0</v>
      </c>
      <c r="I5" s="5">
        <v>-38584</v>
      </c>
      <c r="J5" s="6">
        <v>100457</v>
      </c>
      <c r="K5" s="6">
        <v>60931</v>
      </c>
      <c r="L5" s="6">
        <v>39526</v>
      </c>
      <c r="M5" s="6">
        <v>413</v>
      </c>
      <c r="N5" s="6">
        <v>634</v>
      </c>
      <c r="O5" s="6">
        <v>-221</v>
      </c>
      <c r="P5" s="6">
        <v>-747</v>
      </c>
    </row>
    <row r="6" spans="1:18" x14ac:dyDescent="0.4">
      <c r="A6" s="3">
        <v>2014</v>
      </c>
      <c r="B6" s="4">
        <v>220626</v>
      </c>
      <c r="C6" s="4">
        <v>219589</v>
      </c>
      <c r="D6" s="4">
        <v>1037</v>
      </c>
      <c r="E6" s="4">
        <v>39503</v>
      </c>
      <c r="F6" s="4">
        <v>1052</v>
      </c>
      <c r="G6" s="4">
        <v>38451</v>
      </c>
      <c r="H6" s="30">
        <v>0</v>
      </c>
      <c r="I6" s="5">
        <v>-37414</v>
      </c>
      <c r="J6" s="4">
        <v>90740</v>
      </c>
      <c r="K6" s="4">
        <v>53183</v>
      </c>
      <c r="L6" s="7">
        <v>37557</v>
      </c>
      <c r="M6" s="4">
        <v>277</v>
      </c>
      <c r="N6" s="4">
        <v>634</v>
      </c>
      <c r="O6" s="6">
        <v>-357</v>
      </c>
      <c r="P6" s="6">
        <v>214</v>
      </c>
    </row>
    <row r="7" spans="1:18" x14ac:dyDescent="0.4">
      <c r="A7" s="3">
        <v>2015</v>
      </c>
      <c r="B7" s="4">
        <v>219089</v>
      </c>
      <c r="C7" s="4">
        <v>216998</v>
      </c>
      <c r="D7" s="4">
        <v>2091</v>
      </c>
      <c r="E7" s="4">
        <v>40768</v>
      </c>
      <c r="F7" s="4">
        <v>1483</v>
      </c>
      <c r="G7" s="4">
        <v>39285</v>
      </c>
      <c r="H7" s="30">
        <v>0</v>
      </c>
      <c r="I7" s="5">
        <v>-37194</v>
      </c>
      <c r="J7" s="7">
        <v>92500</v>
      </c>
      <c r="K7" s="7">
        <v>53569</v>
      </c>
      <c r="L7" s="7">
        <v>38931</v>
      </c>
      <c r="M7" s="7">
        <v>5559</v>
      </c>
      <c r="N7" s="7">
        <v>4833</v>
      </c>
      <c r="O7" s="6">
        <v>726</v>
      </c>
      <c r="P7" s="8">
        <v>-2463</v>
      </c>
    </row>
    <row r="8" spans="1:18" x14ac:dyDescent="0.4">
      <c r="A8" s="3">
        <v>2016</v>
      </c>
      <c r="B8" s="4">
        <v>212421</v>
      </c>
      <c r="C8" s="4">
        <v>210173</v>
      </c>
      <c r="D8" s="4">
        <v>2248</v>
      </c>
      <c r="E8" s="4">
        <v>41995</v>
      </c>
      <c r="F8" s="4">
        <v>1346</v>
      </c>
      <c r="G8" s="4">
        <v>40649</v>
      </c>
      <c r="H8" s="30">
        <v>0</v>
      </c>
      <c r="I8" s="5">
        <v>-38401</v>
      </c>
      <c r="J8" s="4">
        <v>86000</v>
      </c>
      <c r="K8" s="4">
        <v>48141</v>
      </c>
      <c r="L8" s="7">
        <v>37859</v>
      </c>
      <c r="M8" s="4">
        <v>5982</v>
      </c>
      <c r="N8" s="4">
        <v>5148</v>
      </c>
      <c r="O8" s="6">
        <v>834</v>
      </c>
      <c r="P8" s="6">
        <v>-292</v>
      </c>
    </row>
    <row r="9" spans="1:18" x14ac:dyDescent="0.4">
      <c r="A9" s="3">
        <v>2017</v>
      </c>
      <c r="B9" s="4">
        <v>220406</v>
      </c>
      <c r="C9" s="4">
        <v>217695</v>
      </c>
      <c r="D9" s="4">
        <v>2711</v>
      </c>
      <c r="E9" s="4">
        <v>44884</v>
      </c>
      <c r="F9" s="4">
        <v>1852</v>
      </c>
      <c r="G9" s="4">
        <v>43032</v>
      </c>
      <c r="H9" s="30">
        <v>0</v>
      </c>
      <c r="I9" s="5">
        <v>-40321</v>
      </c>
      <c r="J9" s="7">
        <v>113916</v>
      </c>
      <c r="K9" s="7">
        <v>73166</v>
      </c>
      <c r="L9" s="7">
        <v>40750</v>
      </c>
      <c r="M9" s="7">
        <v>63</v>
      </c>
      <c r="N9" s="7">
        <v>405</v>
      </c>
      <c r="O9" s="6">
        <v>-342</v>
      </c>
      <c r="P9" s="6">
        <v>-87</v>
      </c>
    </row>
    <row r="10" spans="1:18" x14ac:dyDescent="0.4">
      <c r="A10" s="3">
        <v>2018</v>
      </c>
      <c r="B10" s="4">
        <v>232882</v>
      </c>
      <c r="C10" s="4">
        <v>230960</v>
      </c>
      <c r="D10" s="4">
        <v>1922</v>
      </c>
      <c r="E10" s="4">
        <v>56095</v>
      </c>
      <c r="F10" s="4">
        <v>788</v>
      </c>
      <c r="G10" s="4">
        <v>55307</v>
      </c>
      <c r="H10" s="30">
        <v>0</v>
      </c>
      <c r="I10" s="5">
        <v>-53385</v>
      </c>
      <c r="J10" s="7">
        <v>112800</v>
      </c>
      <c r="K10" s="7">
        <v>60827</v>
      </c>
      <c r="L10" s="9">
        <v>51973</v>
      </c>
      <c r="M10" s="7">
        <v>67</v>
      </c>
      <c r="N10" s="7">
        <v>360</v>
      </c>
      <c r="O10" s="6">
        <v>-320</v>
      </c>
      <c r="P10" s="6">
        <v>1731.96087393998</v>
      </c>
    </row>
    <row r="11" spans="1:18" x14ac:dyDescent="0.4">
      <c r="A11" s="3">
        <v>2019</v>
      </c>
      <c r="B11" s="4">
        <v>264415</v>
      </c>
      <c r="C11" s="4">
        <v>263343</v>
      </c>
      <c r="D11" s="4">
        <v>1072</v>
      </c>
      <c r="E11" s="4">
        <v>54173</v>
      </c>
      <c r="F11" s="4">
        <v>1603</v>
      </c>
      <c r="G11" s="4">
        <v>52570</v>
      </c>
      <c r="H11" s="30">
        <v>0</v>
      </c>
      <c r="I11" s="5">
        <v>-51498</v>
      </c>
      <c r="J11" s="7">
        <v>127478</v>
      </c>
      <c r="K11" s="7">
        <v>82723</v>
      </c>
      <c r="L11" s="7">
        <v>44755</v>
      </c>
      <c r="M11" s="7">
        <v>7304</v>
      </c>
      <c r="N11" s="7">
        <v>327</v>
      </c>
      <c r="O11" s="7">
        <v>6977</v>
      </c>
      <c r="P11" s="6">
        <v>-2166.1676830300298</v>
      </c>
    </row>
    <row r="12" spans="1:18" x14ac:dyDescent="0.4">
      <c r="A12" s="3">
        <v>2020</v>
      </c>
      <c r="B12" s="4">
        <v>225076</v>
      </c>
      <c r="C12" s="4">
        <v>224600</v>
      </c>
      <c r="D12" s="4">
        <v>476</v>
      </c>
      <c r="E12" s="4">
        <v>51360</v>
      </c>
      <c r="F12" s="4">
        <v>1259</v>
      </c>
      <c r="G12" s="4">
        <v>50101</v>
      </c>
      <c r="H12" s="4">
        <v>38019</v>
      </c>
      <c r="I12" s="5">
        <v>-87644</v>
      </c>
      <c r="J12" s="7">
        <v>181067</v>
      </c>
      <c r="K12" s="7">
        <v>94146</v>
      </c>
      <c r="L12" s="7">
        <v>86921</v>
      </c>
      <c r="M12" s="31">
        <v>0</v>
      </c>
      <c r="N12" s="7">
        <v>331</v>
      </c>
      <c r="O12" s="6">
        <v>-331</v>
      </c>
      <c r="P12" s="6">
        <v>11924.65176346</v>
      </c>
    </row>
    <row r="13" spans="1:18" ht="14.15" customHeight="1" x14ac:dyDescent="0.4">
      <c r="A13" s="3">
        <v>2021</v>
      </c>
      <c r="B13" s="4">
        <v>221023</v>
      </c>
      <c r="C13" s="4">
        <v>219600</v>
      </c>
      <c r="D13" s="4">
        <v>1243</v>
      </c>
      <c r="E13" s="4">
        <v>62000</v>
      </c>
      <c r="F13" s="4">
        <v>800</v>
      </c>
      <c r="G13" s="4">
        <v>61200</v>
      </c>
      <c r="H13" s="4">
        <v>39000</v>
      </c>
      <c r="I13" s="5">
        <v>-98777</v>
      </c>
      <c r="J13" s="7">
        <v>205500</v>
      </c>
      <c r="K13" s="7">
        <v>106700</v>
      </c>
      <c r="L13" s="7">
        <v>98800</v>
      </c>
      <c r="M13" s="7">
        <v>5277</v>
      </c>
      <c r="N13" s="7">
        <v>3676</v>
      </c>
      <c r="O13" s="7">
        <v>1601</v>
      </c>
      <c r="P13" s="31">
        <v>0</v>
      </c>
      <c r="R13" s="1"/>
    </row>
    <row r="14" spans="1:18" x14ac:dyDescent="0.4">
      <c r="A14" s="3">
        <v>2022</v>
      </c>
      <c r="B14" s="4">
        <v>234011</v>
      </c>
      <c r="C14" s="4">
        <v>233500</v>
      </c>
      <c r="D14" s="4">
        <v>511</v>
      </c>
      <c r="E14" s="4">
        <v>75600</v>
      </c>
      <c r="F14" s="4">
        <v>600</v>
      </c>
      <c r="G14" s="4">
        <v>75000</v>
      </c>
      <c r="H14" s="4">
        <v>23000</v>
      </c>
      <c r="I14" s="5">
        <v>-97489</v>
      </c>
      <c r="J14" s="31">
        <v>0</v>
      </c>
      <c r="K14" s="31">
        <v>0</v>
      </c>
      <c r="L14" s="31">
        <v>0</v>
      </c>
      <c r="M14" s="31">
        <v>0</v>
      </c>
      <c r="N14" s="31">
        <v>0</v>
      </c>
      <c r="O14" s="31">
        <v>0</v>
      </c>
      <c r="P14" s="31">
        <v>0</v>
      </c>
      <c r="R14" s="1"/>
    </row>
    <row r="19" spans="8:8" x14ac:dyDescent="0.4">
      <c r="H19" s="2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55343-B4EA-4148-863A-99BFD22F788D}">
  <dimension ref="A1:V14"/>
  <sheetViews>
    <sheetView workbookViewId="0">
      <selection activeCell="K11" sqref="K11:K14"/>
    </sheetView>
  </sheetViews>
  <sheetFormatPr defaultRowHeight="14.6" x14ac:dyDescent="0.4"/>
  <sheetData>
    <row r="1" spans="1:22" ht="77.150000000000006" x14ac:dyDescent="0.4">
      <c r="A1" s="21" t="s">
        <v>30</v>
      </c>
      <c r="B1" s="2" t="s">
        <v>21</v>
      </c>
      <c r="C1" s="2" t="s">
        <v>22</v>
      </c>
      <c r="D1" s="2" t="s">
        <v>23</v>
      </c>
      <c r="E1" s="2" t="s">
        <v>24</v>
      </c>
      <c r="F1" s="2" t="s">
        <v>19</v>
      </c>
      <c r="G1" s="2" t="s">
        <v>20</v>
      </c>
      <c r="H1" s="2" t="s">
        <v>25</v>
      </c>
      <c r="I1" s="2" t="s">
        <v>26</v>
      </c>
      <c r="J1" s="2" t="s">
        <v>27</v>
      </c>
      <c r="K1" s="2" t="s">
        <v>33</v>
      </c>
      <c r="L1" s="2" t="s">
        <v>28</v>
      </c>
      <c r="M1" s="2" t="s">
        <v>29</v>
      </c>
      <c r="N1" s="2" t="s">
        <v>19</v>
      </c>
      <c r="O1" s="2" t="s">
        <v>20</v>
      </c>
      <c r="P1" s="2" t="s">
        <v>16</v>
      </c>
      <c r="Q1" s="2" t="s">
        <v>17</v>
      </c>
      <c r="R1" s="2" t="s">
        <v>18</v>
      </c>
      <c r="S1" s="2" t="s">
        <v>19</v>
      </c>
      <c r="T1" s="2" t="s">
        <v>20</v>
      </c>
      <c r="U1" s="24" t="s">
        <v>14</v>
      </c>
      <c r="V1" s="22" t="s">
        <v>15</v>
      </c>
    </row>
    <row r="2" spans="1:22" x14ac:dyDescent="0.4">
      <c r="A2" s="3">
        <v>2010</v>
      </c>
      <c r="B2" s="4">
        <v>17805</v>
      </c>
      <c r="C2" s="4">
        <v>36266</v>
      </c>
      <c r="D2" s="4">
        <v>18713</v>
      </c>
      <c r="E2" s="4">
        <v>4192</v>
      </c>
      <c r="F2" s="4">
        <v>2033</v>
      </c>
      <c r="G2" s="4">
        <v>79009</v>
      </c>
      <c r="H2" s="4">
        <v>1810</v>
      </c>
      <c r="I2" s="4">
        <v>1966</v>
      </c>
      <c r="J2" s="4">
        <v>11770</v>
      </c>
      <c r="K2" s="30">
        <v>0</v>
      </c>
      <c r="L2" s="4">
        <v>8171</v>
      </c>
      <c r="M2" s="4">
        <v>3926</v>
      </c>
      <c r="N2" s="5">
        <v>2864</v>
      </c>
      <c r="O2" s="10">
        <v>30507</v>
      </c>
      <c r="P2" s="4">
        <v>5475</v>
      </c>
      <c r="Q2" s="4">
        <v>4855</v>
      </c>
      <c r="R2" s="4">
        <v>34576</v>
      </c>
      <c r="S2" s="4">
        <v>3961</v>
      </c>
      <c r="T2" s="4">
        <v>48867</v>
      </c>
      <c r="U2" s="4">
        <v>1270</v>
      </c>
      <c r="V2" s="4">
        <v>159653</v>
      </c>
    </row>
    <row r="3" spans="1:22" x14ac:dyDescent="0.4">
      <c r="A3" s="3">
        <v>2011</v>
      </c>
      <c r="B3" s="4">
        <v>20203</v>
      </c>
      <c r="C3" s="4">
        <v>46888</v>
      </c>
      <c r="D3" s="4">
        <v>27748</v>
      </c>
      <c r="E3" s="4">
        <v>4929</v>
      </c>
      <c r="F3" s="4">
        <v>2474</v>
      </c>
      <c r="G3" s="4">
        <v>102242</v>
      </c>
      <c r="H3" s="4">
        <v>2081</v>
      </c>
      <c r="I3" s="4">
        <v>2026</v>
      </c>
      <c r="J3" s="4">
        <v>11517</v>
      </c>
      <c r="K3" s="30">
        <v>0</v>
      </c>
      <c r="L3" s="4">
        <v>8577</v>
      </c>
      <c r="M3" s="4">
        <v>4982</v>
      </c>
      <c r="N3" s="5">
        <v>3460</v>
      </c>
      <c r="O3" s="10">
        <v>32643</v>
      </c>
      <c r="P3" s="4">
        <v>6043</v>
      </c>
      <c r="Q3" s="4">
        <v>5148</v>
      </c>
      <c r="R3" s="4">
        <v>34005</v>
      </c>
      <c r="S3" s="4">
        <v>4227</v>
      </c>
      <c r="T3" s="4">
        <v>49423</v>
      </c>
      <c r="U3" s="4">
        <v>1111</v>
      </c>
      <c r="V3" s="4">
        <v>185419</v>
      </c>
    </row>
    <row r="4" spans="1:22" x14ac:dyDescent="0.4">
      <c r="A4" s="3">
        <v>2012</v>
      </c>
      <c r="B4" s="4">
        <v>22977</v>
      </c>
      <c r="C4" s="4">
        <v>51288</v>
      </c>
      <c r="D4" s="4">
        <v>33934</v>
      </c>
      <c r="E4" s="4">
        <v>5595</v>
      </c>
      <c r="F4" s="4">
        <v>3145</v>
      </c>
      <c r="G4" s="4">
        <v>116939</v>
      </c>
      <c r="H4" s="4">
        <v>1968</v>
      </c>
      <c r="I4" s="4">
        <v>2282</v>
      </c>
      <c r="J4" s="4">
        <v>12187</v>
      </c>
      <c r="K4" s="30">
        <v>0</v>
      </c>
      <c r="L4" s="4">
        <v>9496</v>
      </c>
      <c r="M4" s="4">
        <v>5583</v>
      </c>
      <c r="N4" s="5">
        <v>3190</v>
      </c>
      <c r="O4" s="10">
        <v>34706</v>
      </c>
      <c r="P4" s="4">
        <v>7147</v>
      </c>
      <c r="Q4" s="4">
        <v>6423</v>
      </c>
      <c r="R4" s="4">
        <v>36736</v>
      </c>
      <c r="S4" s="4">
        <v>4603</v>
      </c>
      <c r="T4" s="4">
        <v>54909</v>
      </c>
      <c r="U4" s="4">
        <v>1360</v>
      </c>
      <c r="V4" s="4">
        <v>207913</v>
      </c>
    </row>
    <row r="5" spans="1:22" x14ac:dyDescent="0.4">
      <c r="A5" s="3">
        <v>2013</v>
      </c>
      <c r="B5" s="4">
        <v>58175</v>
      </c>
      <c r="C5" s="4">
        <v>23055</v>
      </c>
      <c r="D5" s="4">
        <v>29753</v>
      </c>
      <c r="E5" s="4">
        <v>6364</v>
      </c>
      <c r="F5" s="4">
        <v>3176</v>
      </c>
      <c r="G5" s="4">
        <v>120523</v>
      </c>
      <c r="H5" s="4">
        <v>1930</v>
      </c>
      <c r="I5" s="4">
        <v>2524</v>
      </c>
      <c r="J5" s="4">
        <v>12193</v>
      </c>
      <c r="K5" s="30">
        <v>0</v>
      </c>
      <c r="L5" s="4">
        <v>10068</v>
      </c>
      <c r="M5" s="4">
        <v>5944</v>
      </c>
      <c r="N5" s="5">
        <v>2770</v>
      </c>
      <c r="O5" s="10">
        <v>35429</v>
      </c>
      <c r="P5" s="4">
        <v>7232</v>
      </c>
      <c r="Q5" s="4">
        <v>6186</v>
      </c>
      <c r="R5" s="4">
        <v>35306</v>
      </c>
      <c r="S5" s="4">
        <v>5727</v>
      </c>
      <c r="T5" s="4">
        <v>54451</v>
      </c>
      <c r="U5" s="4">
        <v>2968</v>
      </c>
      <c r="V5" s="4">
        <v>213370</v>
      </c>
    </row>
    <row r="6" spans="1:22" x14ac:dyDescent="0.4">
      <c r="A6" s="3">
        <v>2014</v>
      </c>
      <c r="B6" s="4">
        <v>65240</v>
      </c>
      <c r="C6" s="4">
        <v>24423</v>
      </c>
      <c r="D6" s="4">
        <v>26956</v>
      </c>
      <c r="E6" s="4">
        <v>6458</v>
      </c>
      <c r="F6" s="4">
        <v>3665</v>
      </c>
      <c r="G6" s="4">
        <v>126742</v>
      </c>
      <c r="H6" s="4">
        <v>1893</v>
      </c>
      <c r="I6" s="4">
        <v>2670</v>
      </c>
      <c r="J6" s="4">
        <v>12925</v>
      </c>
      <c r="K6" s="30">
        <v>0</v>
      </c>
      <c r="L6" s="4">
        <v>10939</v>
      </c>
      <c r="M6" s="4">
        <v>6278</v>
      </c>
      <c r="N6" s="5">
        <v>2757</v>
      </c>
      <c r="O6" s="10">
        <v>37462</v>
      </c>
      <c r="P6" s="4">
        <v>7722</v>
      </c>
      <c r="Q6" s="4">
        <v>6532</v>
      </c>
      <c r="R6" s="4">
        <v>33756</v>
      </c>
      <c r="S6" s="4">
        <v>5889</v>
      </c>
      <c r="T6" s="4">
        <v>53899</v>
      </c>
      <c r="U6" s="4">
        <v>2522</v>
      </c>
      <c r="V6" s="4">
        <v>220626</v>
      </c>
    </row>
    <row r="7" spans="1:22" x14ac:dyDescent="0.4">
      <c r="A7" s="3">
        <v>2015</v>
      </c>
      <c r="B7" s="4">
        <v>63679</v>
      </c>
      <c r="C7" s="4">
        <v>26321</v>
      </c>
      <c r="D7" s="4">
        <v>11559</v>
      </c>
      <c r="E7" s="4">
        <v>5974</v>
      </c>
      <c r="F7" s="4">
        <v>4237</v>
      </c>
      <c r="G7" s="4">
        <v>111770</v>
      </c>
      <c r="H7" s="4">
        <v>1039</v>
      </c>
      <c r="I7" s="4">
        <v>2732</v>
      </c>
      <c r="J7" s="4">
        <v>11890</v>
      </c>
      <c r="K7" s="4">
        <v>27012</v>
      </c>
      <c r="L7" s="4">
        <v>5223</v>
      </c>
      <c r="M7" s="4">
        <v>3038</v>
      </c>
      <c r="N7" s="5">
        <v>2736</v>
      </c>
      <c r="O7" s="10">
        <v>53670</v>
      </c>
      <c r="P7" s="7">
        <v>7398</v>
      </c>
      <c r="Q7" s="4">
        <v>5142</v>
      </c>
      <c r="R7" s="4">
        <v>32838</v>
      </c>
      <c r="S7" s="7">
        <v>6089</v>
      </c>
      <c r="T7" s="7">
        <v>51467</v>
      </c>
      <c r="U7" s="7">
        <v>2182</v>
      </c>
      <c r="V7" s="4">
        <v>219089</v>
      </c>
    </row>
    <row r="8" spans="1:22" x14ac:dyDescent="0.4">
      <c r="A8" s="3">
        <v>2016</v>
      </c>
      <c r="B8" s="4">
        <v>63625</v>
      </c>
      <c r="C8" s="4">
        <v>27566</v>
      </c>
      <c r="D8" s="4">
        <v>8422</v>
      </c>
      <c r="E8" s="4">
        <v>5688</v>
      </c>
      <c r="F8" s="4">
        <v>4307</v>
      </c>
      <c r="G8" s="4">
        <v>109608</v>
      </c>
      <c r="H8" s="4">
        <v>980</v>
      </c>
      <c r="I8" s="4">
        <v>2905</v>
      </c>
      <c r="J8" s="4">
        <v>11705</v>
      </c>
      <c r="K8" s="4">
        <v>41206</v>
      </c>
      <c r="L8" s="4">
        <v>103</v>
      </c>
      <c r="M8" s="4">
        <v>103</v>
      </c>
      <c r="N8" s="5">
        <v>2733</v>
      </c>
      <c r="O8" s="10">
        <v>59735</v>
      </c>
      <c r="P8" s="4">
        <v>8646</v>
      </c>
      <c r="Q8" s="4">
        <v>3661</v>
      </c>
      <c r="R8" s="4">
        <v>20925</v>
      </c>
      <c r="S8" s="7">
        <v>6774</v>
      </c>
      <c r="T8" s="4">
        <v>40006</v>
      </c>
      <c r="U8" s="4">
        <v>3072</v>
      </c>
      <c r="V8" s="4">
        <v>212421</v>
      </c>
    </row>
    <row r="9" spans="1:22" x14ac:dyDescent="0.4">
      <c r="A9" s="3">
        <v>2017</v>
      </c>
      <c r="B9" s="4">
        <v>64465</v>
      </c>
      <c r="C9" s="4">
        <v>28945</v>
      </c>
      <c r="D9" s="4">
        <v>11761</v>
      </c>
      <c r="E9" s="4">
        <v>5665</v>
      </c>
      <c r="F9" s="4">
        <v>5188</v>
      </c>
      <c r="G9" s="4">
        <v>116024</v>
      </c>
      <c r="H9" s="4">
        <v>1355</v>
      </c>
      <c r="I9" s="4">
        <v>2784</v>
      </c>
      <c r="J9" s="7">
        <v>10112</v>
      </c>
      <c r="K9" s="4">
        <v>44290</v>
      </c>
      <c r="L9" s="4">
        <v>47</v>
      </c>
      <c r="M9" s="4">
        <v>15</v>
      </c>
      <c r="N9" s="5">
        <v>3031</v>
      </c>
      <c r="O9" s="10">
        <v>61634</v>
      </c>
      <c r="P9" s="7">
        <v>8362</v>
      </c>
      <c r="Q9" s="4">
        <v>4415</v>
      </c>
      <c r="R9" s="4">
        <v>21638</v>
      </c>
      <c r="S9" s="7">
        <v>5105</v>
      </c>
      <c r="T9" s="4">
        <v>39520</v>
      </c>
      <c r="U9" s="4">
        <v>3228</v>
      </c>
      <c r="V9" s="4">
        <v>220406</v>
      </c>
    </row>
    <row r="10" spans="1:22" x14ac:dyDescent="0.4">
      <c r="A10" s="3">
        <v>2018</v>
      </c>
      <c r="B10" s="4">
        <v>66474</v>
      </c>
      <c r="C10" s="4">
        <v>32605</v>
      </c>
      <c r="D10" s="4">
        <v>20082</v>
      </c>
      <c r="E10" s="4">
        <v>5924</v>
      </c>
      <c r="F10" s="4">
        <v>4950</v>
      </c>
      <c r="G10" s="4">
        <v>130035</v>
      </c>
      <c r="H10" s="4">
        <v>1725</v>
      </c>
      <c r="I10" s="4">
        <v>2897</v>
      </c>
      <c r="J10" s="7">
        <v>10779</v>
      </c>
      <c r="K10" s="4">
        <v>20236</v>
      </c>
      <c r="L10" s="4">
        <f>1095+2876</f>
        <v>3971</v>
      </c>
      <c r="M10" s="4">
        <v>1473</v>
      </c>
      <c r="N10" s="5">
        <v>2945</v>
      </c>
      <c r="O10" s="10">
        <v>44026</v>
      </c>
      <c r="P10" s="7">
        <f>14027-5184</f>
        <v>8843</v>
      </c>
      <c r="Q10" s="4">
        <v>5184</v>
      </c>
      <c r="R10" s="4">
        <v>31889</v>
      </c>
      <c r="S10" s="7">
        <v>5202</v>
      </c>
      <c r="T10" s="4">
        <v>51118</v>
      </c>
      <c r="U10" s="4">
        <f>1491+6213</f>
        <v>7704</v>
      </c>
      <c r="V10" s="4">
        <f>G10+O10+T10+U10</f>
        <v>232883</v>
      </c>
    </row>
    <row r="11" spans="1:22" x14ac:dyDescent="0.4">
      <c r="A11" s="3">
        <v>2019</v>
      </c>
      <c r="B11" s="4">
        <v>63751</v>
      </c>
      <c r="C11" s="4">
        <v>38680</v>
      </c>
      <c r="D11" s="4">
        <v>20783</v>
      </c>
      <c r="E11" s="4">
        <v>6213</v>
      </c>
      <c r="F11" s="4">
        <v>5296</v>
      </c>
      <c r="G11" s="4">
        <v>134723</v>
      </c>
      <c r="H11" s="4">
        <v>1126</v>
      </c>
      <c r="I11" s="4">
        <v>2733</v>
      </c>
      <c r="J11" s="4">
        <v>10511</v>
      </c>
      <c r="K11" s="30">
        <v>0</v>
      </c>
      <c r="L11" s="4">
        <v>8940</v>
      </c>
      <c r="M11" s="4">
        <v>12283</v>
      </c>
      <c r="N11" s="5">
        <v>10250</v>
      </c>
      <c r="O11" s="10">
        <v>45843</v>
      </c>
      <c r="P11" s="7">
        <v>8711</v>
      </c>
      <c r="Q11" s="4">
        <v>5788</v>
      </c>
      <c r="R11" s="4">
        <v>60058</v>
      </c>
      <c r="S11" s="7">
        <v>5268</v>
      </c>
      <c r="T11" s="7">
        <v>79825</v>
      </c>
      <c r="U11" s="7">
        <f>3292+732</f>
        <v>4024</v>
      </c>
      <c r="V11" s="4">
        <f>G11+O11+T11+U11</f>
        <v>264415</v>
      </c>
    </row>
    <row r="12" spans="1:22" x14ac:dyDescent="0.4">
      <c r="A12" s="3">
        <v>2020</v>
      </c>
      <c r="B12" s="4">
        <v>50065</v>
      </c>
      <c r="C12" s="4">
        <v>38953</v>
      </c>
      <c r="D12" s="4">
        <v>12772</v>
      </c>
      <c r="E12" s="4">
        <v>7626</v>
      </c>
      <c r="F12" s="4">
        <v>3095</v>
      </c>
      <c r="G12" s="4">
        <v>112511</v>
      </c>
      <c r="H12" s="4">
        <v>746</v>
      </c>
      <c r="I12" s="4">
        <v>2346</v>
      </c>
      <c r="J12" s="4">
        <v>9855</v>
      </c>
      <c r="K12" s="30">
        <v>0</v>
      </c>
      <c r="L12" s="4">
        <v>14767</v>
      </c>
      <c r="M12" s="4">
        <v>12006</v>
      </c>
      <c r="N12" s="5">
        <v>2167</v>
      </c>
      <c r="O12" s="10">
        <v>41887</v>
      </c>
      <c r="P12" s="7">
        <v>10932</v>
      </c>
      <c r="Q12" s="4">
        <v>4202</v>
      </c>
      <c r="R12" s="4">
        <v>46067</v>
      </c>
      <c r="S12" s="4">
        <v>1523</v>
      </c>
      <c r="T12" s="7">
        <v>62724</v>
      </c>
      <c r="U12" s="7">
        <v>7954</v>
      </c>
      <c r="V12" s="4">
        <f>G12+O12+T12+U12</f>
        <v>225076</v>
      </c>
    </row>
    <row r="13" spans="1:22" x14ac:dyDescent="0.4">
      <c r="A13" s="3">
        <v>2021</v>
      </c>
      <c r="B13" s="4">
        <v>60588</v>
      </c>
      <c r="C13" s="4">
        <v>36400</v>
      </c>
      <c r="D13" s="4">
        <v>11500</v>
      </c>
      <c r="E13" s="4">
        <v>8237</v>
      </c>
      <c r="F13" s="4">
        <v>3323</v>
      </c>
      <c r="G13" s="4">
        <v>120048</v>
      </c>
      <c r="H13" s="4">
        <v>1406</v>
      </c>
      <c r="I13" s="4">
        <v>2330</v>
      </c>
      <c r="J13" s="4">
        <v>9760</v>
      </c>
      <c r="K13" s="30">
        <v>0</v>
      </c>
      <c r="L13" s="4">
        <v>14241</v>
      </c>
      <c r="M13" s="4">
        <v>12287</v>
      </c>
      <c r="N13" s="5">
        <v>1758</v>
      </c>
      <c r="O13" s="10">
        <v>41782</v>
      </c>
      <c r="P13" s="7">
        <v>10252</v>
      </c>
      <c r="Q13" s="4">
        <v>3698</v>
      </c>
      <c r="R13" s="4">
        <v>35989</v>
      </c>
      <c r="S13" s="4">
        <v>2249</v>
      </c>
      <c r="T13" s="7">
        <v>52188</v>
      </c>
      <c r="U13" s="7">
        <v>7005</v>
      </c>
      <c r="V13" s="7">
        <f>G13+O13+T13+U13</f>
        <v>221023</v>
      </c>
    </row>
    <row r="14" spans="1:22" x14ac:dyDescent="0.4">
      <c r="A14" s="3">
        <v>2022</v>
      </c>
      <c r="B14" s="4">
        <v>65499</v>
      </c>
      <c r="C14" s="4">
        <v>37510</v>
      </c>
      <c r="D14" s="4">
        <v>12400</v>
      </c>
      <c r="E14" s="4">
        <v>8611</v>
      </c>
      <c r="F14" s="4">
        <v>3314</v>
      </c>
      <c r="G14" s="4">
        <v>127334</v>
      </c>
      <c r="H14" s="4">
        <v>1610</v>
      </c>
      <c r="I14" s="4">
        <v>2500</v>
      </c>
      <c r="J14" s="4">
        <v>10200</v>
      </c>
      <c r="K14" s="30">
        <v>0</v>
      </c>
      <c r="L14" s="4">
        <v>14560</v>
      </c>
      <c r="M14" s="4">
        <v>13000</v>
      </c>
      <c r="N14" s="4">
        <v>2170</v>
      </c>
      <c r="O14" s="10">
        <v>44040</v>
      </c>
      <c r="P14" s="7">
        <v>10958</v>
      </c>
      <c r="Q14" s="4">
        <v>3998</v>
      </c>
      <c r="R14" s="4">
        <v>39457</v>
      </c>
      <c r="S14" s="4">
        <v>2193</v>
      </c>
      <c r="T14" s="4">
        <v>56606</v>
      </c>
      <c r="U14" s="7">
        <v>6031</v>
      </c>
      <c r="V14" s="7">
        <f>G14+O14+T14+U14</f>
        <v>234011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4DB5D-92EB-4FC0-9389-A0048367F090}">
  <dimension ref="A1:J14"/>
  <sheetViews>
    <sheetView workbookViewId="0">
      <selection sqref="A1:J14"/>
    </sheetView>
  </sheetViews>
  <sheetFormatPr defaultRowHeight="14.6" x14ac:dyDescent="0.4"/>
  <sheetData>
    <row r="1" spans="1:10" ht="38.6" x14ac:dyDescent="0.4">
      <c r="A1" s="3" t="s">
        <v>52</v>
      </c>
      <c r="B1" s="2" t="s">
        <v>34</v>
      </c>
      <c r="C1" s="2" t="s">
        <v>35</v>
      </c>
      <c r="D1" s="2" t="s">
        <v>36</v>
      </c>
      <c r="E1" s="2" t="s">
        <v>37</v>
      </c>
      <c r="F1" s="2" t="s">
        <v>38</v>
      </c>
      <c r="G1" s="2" t="s">
        <v>39</v>
      </c>
      <c r="H1" s="2" t="s">
        <v>53</v>
      </c>
      <c r="I1" s="2" t="s">
        <v>54</v>
      </c>
      <c r="J1" s="11" t="s">
        <v>40</v>
      </c>
    </row>
    <row r="2" spans="1:10" x14ac:dyDescent="0.4">
      <c r="A2" s="3">
        <v>2010</v>
      </c>
      <c r="B2" s="16">
        <v>46663</v>
      </c>
      <c r="C2" s="16">
        <v>11515</v>
      </c>
      <c r="D2" s="12">
        <v>15621</v>
      </c>
      <c r="E2" s="16">
        <v>23841</v>
      </c>
      <c r="F2" s="12">
        <v>23106</v>
      </c>
      <c r="G2" s="16">
        <v>1869</v>
      </c>
      <c r="H2" s="18">
        <v>17096</v>
      </c>
      <c r="I2" s="16">
        <v>11921</v>
      </c>
      <c r="J2" s="12">
        <v>151633</v>
      </c>
    </row>
    <row r="3" spans="1:10" x14ac:dyDescent="0.4">
      <c r="A3" s="3">
        <v>2011</v>
      </c>
      <c r="B3" s="16">
        <v>50148</v>
      </c>
      <c r="C3" s="16">
        <v>13565</v>
      </c>
      <c r="D3" s="12">
        <v>17716</v>
      </c>
      <c r="E3" s="16">
        <v>28949</v>
      </c>
      <c r="F3" s="12">
        <v>36256</v>
      </c>
      <c r="G3" s="16">
        <v>2665</v>
      </c>
      <c r="H3" s="18">
        <v>19307</v>
      </c>
      <c r="I3" s="16">
        <v>13989</v>
      </c>
      <c r="J3" s="12">
        <v>182594</v>
      </c>
    </row>
    <row r="4" spans="1:10" x14ac:dyDescent="0.4">
      <c r="A4" s="3">
        <v>2012</v>
      </c>
      <c r="B4" s="16">
        <v>60016</v>
      </c>
      <c r="C4" s="16">
        <v>14079</v>
      </c>
      <c r="D4" s="12">
        <v>19537</v>
      </c>
      <c r="E4" s="16">
        <v>31963</v>
      </c>
      <c r="F4" s="12">
        <v>44075</v>
      </c>
      <c r="G4" s="16">
        <v>1770</v>
      </c>
      <c r="H4" s="18">
        <v>21661</v>
      </c>
      <c r="I4" s="16">
        <v>12436</v>
      </c>
      <c r="J4" s="12">
        <v>205537</v>
      </c>
    </row>
    <row r="5" spans="1:10" x14ac:dyDescent="0.4">
      <c r="A5" s="3">
        <v>2013</v>
      </c>
      <c r="B5" s="16">
        <v>61001</v>
      </c>
      <c r="C5" s="16">
        <v>14842</v>
      </c>
      <c r="D5" s="12">
        <v>20776</v>
      </c>
      <c r="E5" s="16">
        <v>33860</v>
      </c>
      <c r="F5" s="12">
        <v>43349</v>
      </c>
      <c r="G5" s="16">
        <v>1415</v>
      </c>
      <c r="H5" s="19">
        <v>20807</v>
      </c>
      <c r="I5" s="16">
        <v>15220</v>
      </c>
      <c r="J5" s="12">
        <v>211270</v>
      </c>
    </row>
    <row r="6" spans="1:10" x14ac:dyDescent="0.4">
      <c r="A6" s="3">
        <v>2014</v>
      </c>
      <c r="B6" s="16">
        <v>66947</v>
      </c>
      <c r="C6" s="16">
        <v>18218</v>
      </c>
      <c r="D6" s="12">
        <v>22588</v>
      </c>
      <c r="E6" s="16">
        <v>34259</v>
      </c>
      <c r="F6" s="12">
        <v>39703</v>
      </c>
      <c r="G6" s="16">
        <v>1802</v>
      </c>
      <c r="H6" s="19">
        <v>22883</v>
      </c>
      <c r="I6" s="16">
        <v>13189</v>
      </c>
      <c r="J6" s="12">
        <v>219589</v>
      </c>
    </row>
    <row r="7" spans="1:10" x14ac:dyDescent="0.4">
      <c r="A7" s="3">
        <v>2015</v>
      </c>
      <c r="B7" s="16">
        <v>70050</v>
      </c>
      <c r="C7" s="16">
        <v>18872</v>
      </c>
      <c r="D7" s="12">
        <v>24283</v>
      </c>
      <c r="E7" s="16">
        <v>36373</v>
      </c>
      <c r="F7" s="12">
        <v>27269</v>
      </c>
      <c r="G7" s="16">
        <v>1723</v>
      </c>
      <c r="H7" s="19">
        <v>22407</v>
      </c>
      <c r="I7" s="13">
        <v>16021</v>
      </c>
      <c r="J7" s="12">
        <v>216998</v>
      </c>
    </row>
    <row r="8" spans="1:10" x14ac:dyDescent="0.4">
      <c r="A8" s="3">
        <v>2016</v>
      </c>
      <c r="B8" s="16">
        <v>73108</v>
      </c>
      <c r="C8" s="16">
        <v>21029</v>
      </c>
      <c r="D8" s="12">
        <v>26480</v>
      </c>
      <c r="E8" s="16">
        <v>30070</v>
      </c>
      <c r="F8" s="12">
        <v>24690</v>
      </c>
      <c r="G8" s="16">
        <v>676</v>
      </c>
      <c r="H8" s="19">
        <v>21755</v>
      </c>
      <c r="I8" s="16">
        <v>12365</v>
      </c>
      <c r="J8" s="12">
        <v>210173</v>
      </c>
    </row>
    <row r="9" spans="1:10" x14ac:dyDescent="0.4">
      <c r="A9" s="3">
        <v>2017</v>
      </c>
      <c r="B9" s="16">
        <v>77036</v>
      </c>
      <c r="C9" s="16">
        <v>22800</v>
      </c>
      <c r="D9" s="12">
        <v>27863</v>
      </c>
      <c r="E9" s="16">
        <v>34738</v>
      </c>
      <c r="F9" s="12">
        <v>22354</v>
      </c>
      <c r="G9" s="16">
        <v>516</v>
      </c>
      <c r="H9" s="19">
        <v>21153</v>
      </c>
      <c r="I9" s="16">
        <v>11235</v>
      </c>
      <c r="J9" s="12">
        <v>217695</v>
      </c>
    </row>
    <row r="10" spans="1:10" x14ac:dyDescent="0.4">
      <c r="A10" s="3">
        <v>2018</v>
      </c>
      <c r="B10" s="16">
        <v>79989</v>
      </c>
      <c r="C10" s="16">
        <v>25177</v>
      </c>
      <c r="D10" s="12">
        <v>30547</v>
      </c>
      <c r="E10" s="16">
        <v>35283</v>
      </c>
      <c r="F10" s="12">
        <v>27516</v>
      </c>
      <c r="G10" s="16">
        <v>447</v>
      </c>
      <c r="H10" s="19">
        <f>13763+7605</f>
        <v>21368</v>
      </c>
      <c r="I10" s="16">
        <v>10633</v>
      </c>
      <c r="J10" s="12">
        <v>230960</v>
      </c>
    </row>
    <row r="11" spans="1:10" x14ac:dyDescent="0.4">
      <c r="A11" s="3">
        <v>2019</v>
      </c>
      <c r="B11" s="16">
        <v>80534</v>
      </c>
      <c r="C11" s="16">
        <v>25894</v>
      </c>
      <c r="D11" s="12">
        <v>32933</v>
      </c>
      <c r="E11" s="16">
        <v>31507</v>
      </c>
      <c r="F11" s="12">
        <v>23901</v>
      </c>
      <c r="G11" s="16">
        <v>770</v>
      </c>
      <c r="H11" s="19">
        <f>7574+13780</f>
        <v>21354</v>
      </c>
      <c r="I11" s="16">
        <v>46450</v>
      </c>
      <c r="J11" s="12">
        <v>263343</v>
      </c>
    </row>
    <row r="12" spans="1:10" x14ac:dyDescent="0.4">
      <c r="A12" s="3">
        <v>2020</v>
      </c>
      <c r="B12" s="16">
        <v>82996</v>
      </c>
      <c r="C12" s="16">
        <v>27533</v>
      </c>
      <c r="D12" s="12">
        <v>34945</v>
      </c>
      <c r="E12" s="16">
        <v>29323</v>
      </c>
      <c r="F12" s="12">
        <v>19769</v>
      </c>
      <c r="G12" s="16">
        <v>631</v>
      </c>
      <c r="H12" s="19">
        <f>7669+10291</f>
        <v>17960</v>
      </c>
      <c r="I12" s="16">
        <f>J12-H12-G12-F12-E12-D12-C12-B12</f>
        <v>11443</v>
      </c>
      <c r="J12" s="12">
        <v>224600</v>
      </c>
    </row>
    <row r="13" spans="1:10" x14ac:dyDescent="0.4">
      <c r="A13" s="3">
        <v>2021</v>
      </c>
      <c r="B13" s="16">
        <v>84529</v>
      </c>
      <c r="C13" s="16">
        <v>27581</v>
      </c>
      <c r="D13" s="12">
        <v>39000</v>
      </c>
      <c r="E13" s="16">
        <v>23265</v>
      </c>
      <c r="F13" s="12">
        <v>16701</v>
      </c>
      <c r="G13" s="16">
        <v>415</v>
      </c>
      <c r="H13" s="19">
        <f>7745+13190</f>
        <v>20935</v>
      </c>
      <c r="I13" s="16">
        <f>J13-H13-G13-F13-E13-D13-C13-B13</f>
        <v>7174</v>
      </c>
      <c r="J13" s="12">
        <v>219600</v>
      </c>
    </row>
    <row r="14" spans="1:10" x14ac:dyDescent="0.4">
      <c r="A14" s="3">
        <v>2022</v>
      </c>
      <c r="B14" s="16">
        <v>86510</v>
      </c>
      <c r="C14" s="16">
        <v>28067</v>
      </c>
      <c r="D14" s="12">
        <v>43100</v>
      </c>
      <c r="E14" s="16">
        <v>30367</v>
      </c>
      <c r="F14" s="12">
        <v>17352</v>
      </c>
      <c r="G14" s="16">
        <v>533</v>
      </c>
      <c r="H14" s="19">
        <f>7927+14066</f>
        <v>21993</v>
      </c>
      <c r="I14" s="12">
        <f>J14-H14-G14-F14-E14-D14-C14-B14</f>
        <v>5578</v>
      </c>
      <c r="J14" s="12">
        <v>233500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A7D48-E9DF-473B-A87D-7B681ED2C729}">
  <dimension ref="A1:O14"/>
  <sheetViews>
    <sheetView workbookViewId="0">
      <selection sqref="A1:O14"/>
    </sheetView>
  </sheetViews>
  <sheetFormatPr defaultRowHeight="14.6" x14ac:dyDescent="0.4"/>
  <cols>
    <col min="2" max="2" width="11.3828125" customWidth="1"/>
    <col min="11" max="11" width="10.07421875" customWidth="1"/>
    <col min="14" max="14" width="12.765625" customWidth="1"/>
  </cols>
  <sheetData>
    <row r="1" spans="1:15" s="23" customFormat="1" ht="64.3" x14ac:dyDescent="0.4">
      <c r="A1" s="20" t="s">
        <v>30</v>
      </c>
      <c r="B1" s="2" t="s">
        <v>41</v>
      </c>
      <c r="C1" s="2" t="s">
        <v>42</v>
      </c>
      <c r="D1" s="2" t="s">
        <v>43</v>
      </c>
      <c r="E1" s="2" t="s">
        <v>44</v>
      </c>
      <c r="F1" s="2" t="s">
        <v>19</v>
      </c>
      <c r="G1" s="2" t="s">
        <v>45</v>
      </c>
      <c r="H1" s="2" t="s">
        <v>46</v>
      </c>
      <c r="I1" s="2" t="s">
        <v>47</v>
      </c>
      <c r="J1" s="2" t="s">
        <v>48</v>
      </c>
      <c r="K1" s="2" t="s">
        <v>49</v>
      </c>
      <c r="L1" s="2" t="s">
        <v>45</v>
      </c>
      <c r="M1" s="17" t="s">
        <v>50</v>
      </c>
      <c r="N1" s="17" t="s">
        <v>51</v>
      </c>
      <c r="O1" s="17" t="s">
        <v>40</v>
      </c>
    </row>
    <row r="2" spans="1:15" x14ac:dyDescent="0.4">
      <c r="A2" s="3">
        <v>2010</v>
      </c>
      <c r="B2" s="12">
        <v>2920</v>
      </c>
      <c r="C2" s="12">
        <v>6987</v>
      </c>
      <c r="D2" s="12">
        <v>8665</v>
      </c>
      <c r="E2" s="12">
        <v>5286</v>
      </c>
      <c r="F2" s="12">
        <v>2263</v>
      </c>
      <c r="G2" s="13">
        <v>26121</v>
      </c>
      <c r="H2" s="12">
        <v>12046</v>
      </c>
      <c r="I2" s="14">
        <v>3780</v>
      </c>
      <c r="J2" s="14">
        <v>1333</v>
      </c>
      <c r="K2" s="14">
        <v>3625</v>
      </c>
      <c r="L2" s="13">
        <v>20784</v>
      </c>
      <c r="M2" s="15">
        <v>3970</v>
      </c>
      <c r="N2" s="14">
        <v>1917</v>
      </c>
      <c r="O2" s="13">
        <v>52792</v>
      </c>
    </row>
    <row r="3" spans="1:15" x14ac:dyDescent="0.4">
      <c r="A3" s="3">
        <v>2011</v>
      </c>
      <c r="B3" s="12">
        <v>1128</v>
      </c>
      <c r="C3" s="12">
        <v>8364</v>
      </c>
      <c r="D3" s="12">
        <v>10140</v>
      </c>
      <c r="E3" s="12">
        <v>6013</v>
      </c>
      <c r="F3" s="12">
        <v>2511</v>
      </c>
      <c r="G3" s="13">
        <v>28156</v>
      </c>
      <c r="H3" s="12">
        <v>7735</v>
      </c>
      <c r="I3" s="14">
        <v>2207</v>
      </c>
      <c r="J3" s="14">
        <v>762</v>
      </c>
      <c r="K3" s="14">
        <v>1903</v>
      </c>
      <c r="L3" s="13">
        <v>12607</v>
      </c>
      <c r="M3" s="15">
        <v>4569</v>
      </c>
      <c r="N3" s="14">
        <v>1085</v>
      </c>
      <c r="O3" s="13">
        <v>46416</v>
      </c>
    </row>
    <row r="4" spans="1:15" x14ac:dyDescent="0.4">
      <c r="A4" s="3">
        <v>2012</v>
      </c>
      <c r="B4" s="12">
        <v>1906</v>
      </c>
      <c r="C4" s="12">
        <v>5043</v>
      </c>
      <c r="D4" s="12">
        <v>10065</v>
      </c>
      <c r="E4" s="12">
        <v>5519</v>
      </c>
      <c r="F4" s="12">
        <v>6403</v>
      </c>
      <c r="G4" s="13">
        <v>28936</v>
      </c>
      <c r="H4" s="12">
        <v>7550</v>
      </c>
      <c r="I4" s="14">
        <v>1864</v>
      </c>
      <c r="J4" s="14">
        <v>524</v>
      </c>
      <c r="K4" s="14">
        <v>2462</v>
      </c>
      <c r="L4" s="13">
        <v>12399</v>
      </c>
      <c r="M4" s="15">
        <v>4409</v>
      </c>
      <c r="N4" s="14">
        <v>1187</v>
      </c>
      <c r="O4" s="13">
        <v>46932</v>
      </c>
    </row>
    <row r="5" spans="1:15" x14ac:dyDescent="0.4">
      <c r="A5" s="3">
        <v>2013</v>
      </c>
      <c r="B5" s="12">
        <v>2692</v>
      </c>
      <c r="C5" s="12">
        <v>6244</v>
      </c>
      <c r="D5" s="12">
        <v>8152</v>
      </c>
      <c r="E5" s="12">
        <v>3332</v>
      </c>
      <c r="F5" s="12">
        <v>4226</v>
      </c>
      <c r="G5" s="12">
        <v>24646</v>
      </c>
      <c r="H5" s="12">
        <v>6438</v>
      </c>
      <c r="I5" s="12">
        <v>1738</v>
      </c>
      <c r="J5" s="12">
        <v>852</v>
      </c>
      <c r="K5" s="12">
        <v>1856</v>
      </c>
      <c r="L5" s="12">
        <v>10884</v>
      </c>
      <c r="M5" s="12">
        <v>4649</v>
      </c>
      <c r="N5" s="12">
        <v>2032</v>
      </c>
      <c r="O5" s="12">
        <v>42210</v>
      </c>
    </row>
    <row r="6" spans="1:15" x14ac:dyDescent="0.4">
      <c r="A6" s="3">
        <v>2014</v>
      </c>
      <c r="B6" s="16">
        <v>2875</v>
      </c>
      <c r="C6" s="16">
        <v>4688</v>
      </c>
      <c r="D6" s="16">
        <v>7270</v>
      </c>
      <c r="E6" s="16">
        <v>3485</v>
      </c>
      <c r="F6" s="12">
        <v>5019</v>
      </c>
      <c r="G6" s="16">
        <v>23337</v>
      </c>
      <c r="H6" s="16">
        <v>4928</v>
      </c>
      <c r="I6" s="16">
        <v>1385</v>
      </c>
      <c r="J6" s="16">
        <v>618</v>
      </c>
      <c r="K6" s="16">
        <v>3559</v>
      </c>
      <c r="L6" s="16">
        <v>10490</v>
      </c>
      <c r="M6" s="16">
        <v>4332</v>
      </c>
      <c r="N6" s="12">
        <v>1344</v>
      </c>
      <c r="O6" s="16">
        <v>39503</v>
      </c>
    </row>
    <row r="7" spans="1:15" x14ac:dyDescent="0.4">
      <c r="A7" s="3">
        <v>2015</v>
      </c>
      <c r="B7" s="16">
        <v>3105</v>
      </c>
      <c r="C7" s="16">
        <v>5638</v>
      </c>
      <c r="D7" s="16">
        <v>6693</v>
      </c>
      <c r="E7" s="16">
        <v>3637</v>
      </c>
      <c r="F7" s="12">
        <v>4213</v>
      </c>
      <c r="G7" s="16">
        <v>23286</v>
      </c>
      <c r="H7" s="16">
        <v>4758</v>
      </c>
      <c r="I7" s="16">
        <v>1442</v>
      </c>
      <c r="J7" s="16">
        <v>2008</v>
      </c>
      <c r="K7" s="16">
        <v>2952</v>
      </c>
      <c r="L7" s="16">
        <v>11160</v>
      </c>
      <c r="M7" s="16">
        <v>4754</v>
      </c>
      <c r="N7" s="12">
        <v>1568</v>
      </c>
      <c r="O7" s="16">
        <v>40768</v>
      </c>
    </row>
    <row r="8" spans="1:15" x14ac:dyDescent="0.4">
      <c r="A8" s="3">
        <v>2016</v>
      </c>
      <c r="B8" s="16">
        <v>2902</v>
      </c>
      <c r="C8" s="16">
        <v>4841</v>
      </c>
      <c r="D8" s="16">
        <v>7827</v>
      </c>
      <c r="E8" s="16">
        <v>2927</v>
      </c>
      <c r="F8" s="12">
        <v>6616</v>
      </c>
      <c r="G8" s="16">
        <v>25113</v>
      </c>
      <c r="H8" s="16">
        <v>3727</v>
      </c>
      <c r="I8" s="16">
        <v>1495</v>
      </c>
      <c r="J8" s="16">
        <v>2238</v>
      </c>
      <c r="K8" s="16">
        <v>2969</v>
      </c>
      <c r="L8" s="16">
        <v>10429</v>
      </c>
      <c r="M8" s="16">
        <v>4832</v>
      </c>
      <c r="N8" s="12">
        <v>1621</v>
      </c>
      <c r="O8" s="16">
        <v>41995</v>
      </c>
    </row>
    <row r="9" spans="1:15" x14ac:dyDescent="0.4">
      <c r="A9" s="3">
        <v>2017</v>
      </c>
      <c r="B9" s="16">
        <v>2219</v>
      </c>
      <c r="C9" s="16">
        <v>3800</v>
      </c>
      <c r="D9" s="16">
        <v>10429</v>
      </c>
      <c r="E9" s="16">
        <v>2475</v>
      </c>
      <c r="F9" s="12">
        <v>5263</v>
      </c>
      <c r="G9" s="16">
        <v>24186</v>
      </c>
      <c r="H9" s="16">
        <v>6306</v>
      </c>
      <c r="I9" s="16">
        <v>1470</v>
      </c>
      <c r="J9" s="16">
        <v>785</v>
      </c>
      <c r="K9" s="16">
        <v>3864</v>
      </c>
      <c r="L9" s="16">
        <v>12425</v>
      </c>
      <c r="M9" s="16">
        <v>5334</v>
      </c>
      <c r="N9" s="12">
        <v>2939</v>
      </c>
      <c r="O9" s="16">
        <v>44884</v>
      </c>
    </row>
    <row r="10" spans="1:15" x14ac:dyDescent="0.4">
      <c r="A10" s="3">
        <v>2018</v>
      </c>
      <c r="B10" s="16">
        <v>2133</v>
      </c>
      <c r="C10" s="16">
        <v>2512</v>
      </c>
      <c r="D10" s="16">
        <v>17004</v>
      </c>
      <c r="E10" s="16">
        <v>2254</v>
      </c>
      <c r="F10" s="12">
        <v>12200</v>
      </c>
      <c r="G10" s="16">
        <v>36103</v>
      </c>
      <c r="H10" s="16">
        <v>6505</v>
      </c>
      <c r="I10" s="16">
        <v>1773</v>
      </c>
      <c r="J10" s="16">
        <v>1285</v>
      </c>
      <c r="K10" s="16">
        <v>3310</v>
      </c>
      <c r="L10" s="16">
        <v>12873</v>
      </c>
      <c r="M10" s="16">
        <v>4929</v>
      </c>
      <c r="N10" s="12">
        <v>2190</v>
      </c>
      <c r="O10" s="16">
        <v>56095</v>
      </c>
    </row>
    <row r="11" spans="1:15" x14ac:dyDescent="0.4">
      <c r="A11" s="3">
        <v>2019</v>
      </c>
      <c r="B11" s="16">
        <v>2314</v>
      </c>
      <c r="C11" s="16">
        <v>3054</v>
      </c>
      <c r="D11" s="16">
        <v>13750</v>
      </c>
      <c r="E11" s="16">
        <v>2760</v>
      </c>
      <c r="F11" s="12">
        <v>9422</v>
      </c>
      <c r="G11" s="16">
        <v>31300</v>
      </c>
      <c r="H11" s="16">
        <v>7629</v>
      </c>
      <c r="I11" s="16">
        <v>1827</v>
      </c>
      <c r="J11" s="16">
        <v>2126</v>
      </c>
      <c r="K11" s="16">
        <v>2902</v>
      </c>
      <c r="L11" s="16">
        <v>14484</v>
      </c>
      <c r="M11" s="16">
        <v>5615</v>
      </c>
      <c r="N11" s="12">
        <v>2775</v>
      </c>
      <c r="O11" s="16">
        <v>54173</v>
      </c>
    </row>
    <row r="12" spans="1:15" x14ac:dyDescent="0.4">
      <c r="A12" s="3">
        <v>2020</v>
      </c>
      <c r="B12" s="16">
        <v>2003</v>
      </c>
      <c r="C12" s="16">
        <v>2576</v>
      </c>
      <c r="D12" s="16">
        <v>12779</v>
      </c>
      <c r="E12" s="16">
        <v>2315</v>
      </c>
      <c r="F12" s="12">
        <v>9039</v>
      </c>
      <c r="G12" s="16">
        <v>28712</v>
      </c>
      <c r="H12" s="16">
        <v>6737</v>
      </c>
      <c r="I12" s="16">
        <v>3983</v>
      </c>
      <c r="J12" s="16">
        <v>1015</v>
      </c>
      <c r="K12" s="16">
        <v>2092</v>
      </c>
      <c r="L12" s="16">
        <v>13827</v>
      </c>
      <c r="M12" s="16">
        <v>5785</v>
      </c>
      <c r="N12" s="12">
        <v>3036</v>
      </c>
      <c r="O12" s="16">
        <v>51360</v>
      </c>
    </row>
    <row r="13" spans="1:15" x14ac:dyDescent="0.4">
      <c r="A13" s="3">
        <v>2021</v>
      </c>
      <c r="B13" s="16">
        <v>2815</v>
      </c>
      <c r="C13" s="16">
        <v>2365</v>
      </c>
      <c r="D13" s="16">
        <v>13014</v>
      </c>
      <c r="E13" s="16">
        <v>2976</v>
      </c>
      <c r="F13" s="12">
        <v>12597</v>
      </c>
      <c r="G13" s="16">
        <v>33767</v>
      </c>
      <c r="H13" s="16">
        <v>8118</v>
      </c>
      <c r="I13" s="16">
        <v>4397</v>
      </c>
      <c r="J13" s="16">
        <v>1582</v>
      </c>
      <c r="K13" s="16">
        <v>3250</v>
      </c>
      <c r="L13" s="16">
        <v>17347</v>
      </c>
      <c r="M13" s="16">
        <v>7317</v>
      </c>
      <c r="N13" s="12">
        <v>3569</v>
      </c>
      <c r="O13" s="16">
        <v>62000</v>
      </c>
    </row>
    <row r="14" spans="1:15" x14ac:dyDescent="0.4">
      <c r="A14" s="3">
        <v>2022</v>
      </c>
      <c r="B14" s="16">
        <v>2860</v>
      </c>
      <c r="C14" s="16">
        <v>2087</v>
      </c>
      <c r="D14" s="16">
        <v>15509</v>
      </c>
      <c r="E14" s="16">
        <v>3167</v>
      </c>
      <c r="F14" s="16">
        <v>16582</v>
      </c>
      <c r="G14" s="16">
        <v>40205</v>
      </c>
      <c r="H14" s="16">
        <v>11955</v>
      </c>
      <c r="I14" s="16">
        <v>4457</v>
      </c>
      <c r="J14" s="16">
        <v>1771</v>
      </c>
      <c r="K14" s="16">
        <v>4488</v>
      </c>
      <c r="L14" s="16">
        <v>22671</v>
      </c>
      <c r="M14" s="16">
        <v>8970</v>
      </c>
      <c r="N14" s="12">
        <v>3754</v>
      </c>
      <c r="O14" s="16">
        <v>75600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A0094-B186-4C30-836B-7B5AECA2DB5B}">
  <dimension ref="B3:C17"/>
  <sheetViews>
    <sheetView workbookViewId="0">
      <selection activeCell="C23" sqref="C23"/>
    </sheetView>
  </sheetViews>
  <sheetFormatPr defaultRowHeight="14.6" x14ac:dyDescent="0.4"/>
  <cols>
    <col min="2" max="2" width="12.4609375" bestFit="1" customWidth="1"/>
    <col min="3" max="3" width="14.3046875" bestFit="1" customWidth="1"/>
    <col min="4" max="15" width="8.61328125" bestFit="1" customWidth="1"/>
    <col min="16" max="16" width="11.69140625" bestFit="1" customWidth="1"/>
  </cols>
  <sheetData>
    <row r="3" spans="2:3" x14ac:dyDescent="0.4">
      <c r="B3" s="26" t="s">
        <v>57</v>
      </c>
      <c r="C3" t="s">
        <v>58</v>
      </c>
    </row>
    <row r="4" spans="2:3" x14ac:dyDescent="0.4">
      <c r="B4" s="27">
        <v>2010</v>
      </c>
      <c r="C4" s="28">
        <v>159653</v>
      </c>
    </row>
    <row r="5" spans="2:3" x14ac:dyDescent="0.4">
      <c r="B5" s="27">
        <v>2011</v>
      </c>
      <c r="C5" s="28">
        <v>185419</v>
      </c>
    </row>
    <row r="6" spans="2:3" x14ac:dyDescent="0.4">
      <c r="B6" s="27">
        <v>2012</v>
      </c>
      <c r="C6" s="28">
        <v>207913</v>
      </c>
    </row>
    <row r="7" spans="2:3" x14ac:dyDescent="0.4">
      <c r="B7" s="27">
        <v>2013</v>
      </c>
      <c r="C7" s="28">
        <v>213370</v>
      </c>
    </row>
    <row r="8" spans="2:3" x14ac:dyDescent="0.4">
      <c r="B8" s="27">
        <v>2014</v>
      </c>
      <c r="C8" s="28">
        <v>220626</v>
      </c>
    </row>
    <row r="9" spans="2:3" x14ac:dyDescent="0.4">
      <c r="B9" s="27">
        <v>2015</v>
      </c>
      <c r="C9" s="28">
        <v>219089</v>
      </c>
    </row>
    <row r="10" spans="2:3" x14ac:dyDescent="0.4">
      <c r="B10" s="27">
        <v>2016</v>
      </c>
      <c r="C10" s="28">
        <v>212421</v>
      </c>
    </row>
    <row r="11" spans="2:3" x14ac:dyDescent="0.4">
      <c r="B11" s="27">
        <v>2017</v>
      </c>
      <c r="C11" s="28">
        <v>220406</v>
      </c>
    </row>
    <row r="12" spans="2:3" x14ac:dyDescent="0.4">
      <c r="B12" s="27">
        <v>2018</v>
      </c>
      <c r="C12" s="28">
        <v>232882</v>
      </c>
    </row>
    <row r="13" spans="2:3" x14ac:dyDescent="0.4">
      <c r="B13" s="27">
        <v>2019</v>
      </c>
      <c r="C13" s="28">
        <v>264415</v>
      </c>
    </row>
    <row r="14" spans="2:3" x14ac:dyDescent="0.4">
      <c r="B14" s="27">
        <v>2020</v>
      </c>
      <c r="C14" s="28">
        <v>225076</v>
      </c>
    </row>
    <row r="15" spans="2:3" x14ac:dyDescent="0.4">
      <c r="B15" s="27">
        <v>2021</v>
      </c>
      <c r="C15" s="28">
        <v>221023</v>
      </c>
    </row>
    <row r="16" spans="2:3" x14ac:dyDescent="0.4">
      <c r="B16" s="27">
        <v>2022</v>
      </c>
      <c r="C16" s="28">
        <v>234011</v>
      </c>
    </row>
    <row r="17" spans="2:3" x14ac:dyDescent="0.4">
      <c r="B17" s="27" t="s">
        <v>56</v>
      </c>
      <c r="C17" s="28">
        <v>2816304</v>
      </c>
    </row>
  </sheetData>
  <pageMargins left="0.7" right="0.7" top="0.75" bottom="0.75" header="0.3" footer="0.3"/>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EF3F6-5E48-4C3B-A6E6-A92FEEB8F035}">
  <dimension ref="B3:D17"/>
  <sheetViews>
    <sheetView topLeftCell="C1" workbookViewId="0">
      <selection sqref="A1:A1048576"/>
    </sheetView>
  </sheetViews>
  <sheetFormatPr defaultRowHeight="14.6" x14ac:dyDescent="0.4"/>
  <cols>
    <col min="2" max="2" width="12.4609375" bestFit="1" customWidth="1"/>
    <col min="3" max="3" width="34.23046875" bestFit="1" customWidth="1"/>
    <col min="4" max="5" width="26" bestFit="1" customWidth="1"/>
    <col min="6" max="6" width="30.3046875" bestFit="1" customWidth="1"/>
    <col min="7" max="15" width="8.61328125" bestFit="1" customWidth="1"/>
    <col min="16" max="16" width="11.69140625" bestFit="1" customWidth="1"/>
  </cols>
  <sheetData>
    <row r="3" spans="2:4" x14ac:dyDescent="0.4">
      <c r="B3" s="26" t="s">
        <v>57</v>
      </c>
      <c r="C3" t="s">
        <v>60</v>
      </c>
      <c r="D3" t="s">
        <v>59</v>
      </c>
    </row>
    <row r="4" spans="2:4" x14ac:dyDescent="0.4">
      <c r="B4" s="27">
        <v>2010</v>
      </c>
      <c r="C4" s="28">
        <v>52792</v>
      </c>
      <c r="D4" s="28">
        <v>151633</v>
      </c>
    </row>
    <row r="5" spans="2:4" x14ac:dyDescent="0.4">
      <c r="B5" s="27">
        <v>2011</v>
      </c>
      <c r="C5" s="28">
        <v>46416</v>
      </c>
      <c r="D5" s="28">
        <v>182593</v>
      </c>
    </row>
    <row r="6" spans="2:4" x14ac:dyDescent="0.4">
      <c r="B6" s="27">
        <v>2012</v>
      </c>
      <c r="C6" s="28">
        <v>46932</v>
      </c>
      <c r="D6" s="28">
        <v>205537</v>
      </c>
    </row>
    <row r="7" spans="2:4" x14ac:dyDescent="0.4">
      <c r="B7" s="27">
        <v>2013</v>
      </c>
      <c r="C7" s="28">
        <v>42210</v>
      </c>
      <c r="D7" s="28">
        <v>211270</v>
      </c>
    </row>
    <row r="8" spans="2:4" x14ac:dyDescent="0.4">
      <c r="B8" s="27">
        <v>2014</v>
      </c>
      <c r="C8" s="28">
        <v>39503</v>
      </c>
      <c r="D8" s="28">
        <v>219589</v>
      </c>
    </row>
    <row r="9" spans="2:4" x14ac:dyDescent="0.4">
      <c r="B9" s="27">
        <v>2015</v>
      </c>
      <c r="C9" s="28">
        <v>40768</v>
      </c>
      <c r="D9" s="28">
        <v>216998</v>
      </c>
    </row>
    <row r="10" spans="2:4" x14ac:dyDescent="0.4">
      <c r="B10" s="27">
        <v>2016</v>
      </c>
      <c r="C10" s="28">
        <v>41995</v>
      </c>
      <c r="D10" s="28">
        <v>210173</v>
      </c>
    </row>
    <row r="11" spans="2:4" x14ac:dyDescent="0.4">
      <c r="B11" s="27">
        <v>2017</v>
      </c>
      <c r="C11" s="28">
        <v>44884</v>
      </c>
      <c r="D11" s="28">
        <v>217695</v>
      </c>
    </row>
    <row r="12" spans="2:4" x14ac:dyDescent="0.4">
      <c r="B12" s="27">
        <v>2018</v>
      </c>
      <c r="C12" s="28">
        <v>56095</v>
      </c>
      <c r="D12" s="28">
        <v>230960</v>
      </c>
    </row>
    <row r="13" spans="2:4" x14ac:dyDescent="0.4">
      <c r="B13" s="27">
        <v>2019</v>
      </c>
      <c r="C13" s="28">
        <v>54173</v>
      </c>
      <c r="D13" s="28">
        <v>263343</v>
      </c>
    </row>
    <row r="14" spans="2:4" x14ac:dyDescent="0.4">
      <c r="B14" s="27">
        <v>2020</v>
      </c>
      <c r="C14" s="28">
        <v>51360</v>
      </c>
      <c r="D14" s="28">
        <v>224600</v>
      </c>
    </row>
    <row r="15" spans="2:4" x14ac:dyDescent="0.4">
      <c r="B15" s="27">
        <v>2021</v>
      </c>
      <c r="C15" s="28">
        <v>62000</v>
      </c>
      <c r="D15" s="28">
        <v>219600</v>
      </c>
    </row>
    <row r="16" spans="2:4" x14ac:dyDescent="0.4">
      <c r="B16" s="27">
        <v>2022</v>
      </c>
      <c r="C16" s="28">
        <v>75600</v>
      </c>
      <c r="D16" s="28">
        <v>233500</v>
      </c>
    </row>
    <row r="17" spans="2:4" x14ac:dyDescent="0.4">
      <c r="B17" s="27" t="s">
        <v>56</v>
      </c>
      <c r="C17" s="28">
        <v>654728</v>
      </c>
      <c r="D17" s="28">
        <v>2787491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CB272-4918-45D8-B3EC-0547CF2BFC65}">
  <dimension ref="B3:C12"/>
  <sheetViews>
    <sheetView workbookViewId="0">
      <selection sqref="A1:A1048576"/>
    </sheetView>
  </sheetViews>
  <sheetFormatPr defaultRowHeight="14.6" x14ac:dyDescent="0.4"/>
  <cols>
    <col min="2" max="2" width="19.23046875" bestFit="1" customWidth="1"/>
    <col min="3" max="3" width="15.53515625" bestFit="1" customWidth="1"/>
    <col min="4" max="4" width="10.4609375" bestFit="1" customWidth="1"/>
    <col min="5" max="15" width="7.61328125" bestFit="1" customWidth="1"/>
    <col min="16" max="16" width="10.4609375" bestFit="1" customWidth="1"/>
    <col min="17" max="53" width="25.84375" bestFit="1" customWidth="1"/>
    <col min="54" max="54" width="30.07421875" bestFit="1" customWidth="1"/>
    <col min="55" max="55" width="22.15234375" bestFit="1" customWidth="1"/>
    <col min="56" max="56" width="30.3828125" bestFit="1" customWidth="1"/>
    <col min="57" max="57" width="30.07421875" bestFit="1" customWidth="1"/>
  </cols>
  <sheetData>
    <row r="3" spans="2:3" x14ac:dyDescent="0.4">
      <c r="C3" s="26" t="s">
        <v>55</v>
      </c>
    </row>
    <row r="4" spans="2:3" x14ac:dyDescent="0.4">
      <c r="B4" s="26" t="s">
        <v>61</v>
      </c>
      <c r="C4">
        <v>2019</v>
      </c>
    </row>
    <row r="5" spans="2:3" x14ac:dyDescent="0.4">
      <c r="B5" s="27" t="s">
        <v>66</v>
      </c>
      <c r="C5" s="28">
        <v>770</v>
      </c>
    </row>
    <row r="6" spans="2:3" x14ac:dyDescent="0.4">
      <c r="B6" s="27" t="s">
        <v>67</v>
      </c>
      <c r="C6" s="28">
        <v>21354</v>
      </c>
    </row>
    <row r="7" spans="2:3" x14ac:dyDescent="0.4">
      <c r="B7" s="27" t="s">
        <v>65</v>
      </c>
      <c r="C7" s="29">
        <v>23901</v>
      </c>
    </row>
    <row r="8" spans="2:3" x14ac:dyDescent="0.4">
      <c r="B8" s="27" t="s">
        <v>63</v>
      </c>
      <c r="C8" s="28">
        <v>25894</v>
      </c>
    </row>
    <row r="9" spans="2:3" x14ac:dyDescent="0.4">
      <c r="B9" s="27" t="s">
        <v>64</v>
      </c>
      <c r="C9" s="28">
        <v>31507</v>
      </c>
    </row>
    <row r="10" spans="2:3" x14ac:dyDescent="0.4">
      <c r="B10" s="27" t="s">
        <v>69</v>
      </c>
      <c r="C10" s="29">
        <v>32933</v>
      </c>
    </row>
    <row r="11" spans="2:3" x14ac:dyDescent="0.4">
      <c r="B11" s="27" t="s">
        <v>68</v>
      </c>
      <c r="C11">
        <v>46450</v>
      </c>
    </row>
    <row r="12" spans="2:3" x14ac:dyDescent="0.4">
      <c r="B12" s="27" t="s">
        <v>62</v>
      </c>
      <c r="C12" s="28">
        <v>80534</v>
      </c>
    </row>
  </sheetData>
  <sortState xmlns:xlrd2="http://schemas.microsoft.com/office/spreadsheetml/2017/richdata2" ref="B3:C12">
    <sortCondition ref="C5"/>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9C60E-E15B-48D9-B34E-603E23528C2B}">
  <dimension ref="B3:C15"/>
  <sheetViews>
    <sheetView tabSelected="1" workbookViewId="0">
      <selection activeCell="P32" sqref="P32"/>
    </sheetView>
  </sheetViews>
  <sheetFormatPr defaultRowHeight="14.6" x14ac:dyDescent="0.4"/>
  <cols>
    <col min="2" max="2" width="29.4609375" bestFit="1" customWidth="1"/>
    <col min="3" max="3" width="15.53515625" bestFit="1" customWidth="1"/>
    <col min="4" max="5" width="5.84375" bestFit="1" customWidth="1"/>
    <col min="6" max="9" width="5.3828125" bestFit="1" customWidth="1"/>
    <col min="10" max="15" width="5.84375" bestFit="1" customWidth="1"/>
    <col min="16" max="16" width="10.4609375" bestFit="1" customWidth="1"/>
    <col min="17" max="66" width="36.765625" bestFit="1" customWidth="1"/>
    <col min="67" max="67" width="41.3046875" bestFit="1" customWidth="1"/>
    <col min="68" max="68" width="32.765625" bestFit="1" customWidth="1"/>
    <col min="69" max="69" width="19.61328125" bestFit="1" customWidth="1"/>
    <col min="70" max="70" width="33.53515625" bestFit="1" customWidth="1"/>
    <col min="71" max="71" width="17.23046875" bestFit="1" customWidth="1"/>
    <col min="72" max="79" width="36.765625" bestFit="1" customWidth="1"/>
    <col min="80" max="80" width="41.3046875" bestFit="1" customWidth="1"/>
    <col min="81" max="81" width="32.765625" bestFit="1" customWidth="1"/>
    <col min="82" max="82" width="19.61328125" bestFit="1" customWidth="1"/>
    <col min="83" max="83" width="33.53515625" bestFit="1" customWidth="1"/>
    <col min="84" max="84" width="17.23046875" bestFit="1" customWidth="1"/>
    <col min="85" max="85" width="19.23046875" bestFit="1" customWidth="1"/>
  </cols>
  <sheetData>
    <row r="3" spans="2:3" x14ac:dyDescent="0.4">
      <c r="C3" s="26" t="s">
        <v>55</v>
      </c>
    </row>
    <row r="4" spans="2:3" x14ac:dyDescent="0.4">
      <c r="B4" s="26" t="s">
        <v>61</v>
      </c>
      <c r="C4">
        <v>2022</v>
      </c>
    </row>
    <row r="5" spans="2:3" x14ac:dyDescent="0.4">
      <c r="B5" t="s">
        <v>77</v>
      </c>
      <c r="C5" s="32">
        <v>1771</v>
      </c>
    </row>
    <row r="6" spans="2:3" x14ac:dyDescent="0.4">
      <c r="B6" t="s">
        <v>71</v>
      </c>
      <c r="C6" s="32">
        <v>2087</v>
      </c>
    </row>
    <row r="7" spans="2:3" x14ac:dyDescent="0.4">
      <c r="B7" t="s">
        <v>70</v>
      </c>
      <c r="C7" s="32">
        <v>2860</v>
      </c>
    </row>
    <row r="8" spans="2:3" x14ac:dyDescent="0.4">
      <c r="B8" t="s">
        <v>73</v>
      </c>
      <c r="C8" s="32">
        <v>3167</v>
      </c>
    </row>
    <row r="9" spans="2:3" x14ac:dyDescent="0.4">
      <c r="B9" t="s">
        <v>80</v>
      </c>
      <c r="C9" s="32">
        <v>3754</v>
      </c>
    </row>
    <row r="10" spans="2:3" x14ac:dyDescent="0.4">
      <c r="B10" t="s">
        <v>76</v>
      </c>
      <c r="C10" s="32">
        <v>4457</v>
      </c>
    </row>
    <row r="11" spans="2:3" x14ac:dyDescent="0.4">
      <c r="B11" t="s">
        <v>78</v>
      </c>
      <c r="C11" s="32">
        <v>4488</v>
      </c>
    </row>
    <row r="12" spans="2:3" x14ac:dyDescent="0.4">
      <c r="B12" t="s">
        <v>79</v>
      </c>
      <c r="C12" s="32">
        <v>8970</v>
      </c>
    </row>
    <row r="13" spans="2:3" x14ac:dyDescent="0.4">
      <c r="B13" t="s">
        <v>75</v>
      </c>
      <c r="C13" s="32">
        <v>11955</v>
      </c>
    </row>
    <row r="14" spans="2:3" x14ac:dyDescent="0.4">
      <c r="B14" t="s">
        <v>72</v>
      </c>
      <c r="C14" s="32">
        <v>15509</v>
      </c>
    </row>
    <row r="15" spans="2:3" x14ac:dyDescent="0.4">
      <c r="B15" t="s">
        <v>74</v>
      </c>
      <c r="C15" s="32">
        <v>16582</v>
      </c>
    </row>
  </sheetData>
  <sortState xmlns:xlrd2="http://schemas.microsoft.com/office/spreadsheetml/2017/richdata2" ref="B3:C15">
    <sortCondition ref="C5"/>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89FDE-036C-4734-8B9C-A0DF93B3A060}">
  <dimension ref="B2:AA56"/>
  <sheetViews>
    <sheetView showGridLines="0" zoomScale="60" zoomScaleNormal="60" workbookViewId="0">
      <selection activeCell="AC24" sqref="AC24"/>
    </sheetView>
  </sheetViews>
  <sheetFormatPr defaultRowHeight="14.6" x14ac:dyDescent="0.4"/>
  <sheetData>
    <row r="2" spans="2:27" s="33" customFormat="1" ht="29.6" customHeight="1" x14ac:dyDescent="0.4">
      <c r="B2" s="40" t="s">
        <v>81</v>
      </c>
      <c r="C2" s="41"/>
      <c r="D2" s="41"/>
      <c r="E2" s="41"/>
      <c r="F2" s="41"/>
      <c r="G2" s="41"/>
      <c r="H2" s="41"/>
      <c r="I2" s="41"/>
      <c r="J2" s="41"/>
      <c r="K2" s="41"/>
      <c r="L2" s="41"/>
      <c r="M2" s="41"/>
      <c r="N2" s="41"/>
      <c r="O2" s="41"/>
      <c r="P2" s="41"/>
      <c r="Q2" s="41"/>
      <c r="R2" s="41"/>
      <c r="S2" s="41"/>
      <c r="T2" s="41"/>
      <c r="U2" s="41"/>
      <c r="V2" s="41"/>
      <c r="W2" s="41"/>
      <c r="X2" s="41"/>
      <c r="Y2" s="41"/>
      <c r="Z2" s="41"/>
      <c r="AA2" s="42"/>
    </row>
    <row r="3" spans="2:27" s="33" customFormat="1" x14ac:dyDescent="0.4">
      <c r="B3" s="43"/>
      <c r="C3" s="44"/>
      <c r="D3" s="44"/>
      <c r="E3" s="44"/>
      <c r="F3" s="44"/>
      <c r="G3" s="44"/>
      <c r="H3" s="44"/>
      <c r="I3" s="44"/>
      <c r="J3" s="44"/>
      <c r="K3" s="44"/>
      <c r="L3" s="44"/>
      <c r="M3" s="44"/>
      <c r="N3" s="44"/>
      <c r="O3" s="44"/>
      <c r="P3" s="44"/>
      <c r="Q3" s="44"/>
      <c r="R3" s="44"/>
      <c r="S3" s="44"/>
      <c r="T3" s="44"/>
      <c r="U3" s="44"/>
      <c r="V3" s="44"/>
      <c r="W3" s="44"/>
      <c r="X3" s="44"/>
      <c r="Y3" s="44"/>
      <c r="Z3" s="44"/>
      <c r="AA3" s="45"/>
    </row>
    <row r="4" spans="2:27" s="33" customFormat="1" x14ac:dyDescent="0.4">
      <c r="B4" s="43"/>
      <c r="C4" s="44"/>
      <c r="D4" s="44"/>
      <c r="E4" s="44"/>
      <c r="F4" s="44"/>
      <c r="G4" s="44"/>
      <c r="H4" s="44"/>
      <c r="I4" s="44"/>
      <c r="J4" s="44"/>
      <c r="K4" s="44"/>
      <c r="L4" s="44"/>
      <c r="M4" s="44"/>
      <c r="N4" s="44"/>
      <c r="O4" s="44"/>
      <c r="P4" s="44"/>
      <c r="Q4" s="44"/>
      <c r="R4" s="44"/>
      <c r="S4" s="44"/>
      <c r="T4" s="44"/>
      <c r="U4" s="44"/>
      <c r="V4" s="44"/>
      <c r="W4" s="44"/>
      <c r="X4" s="44"/>
      <c r="Y4" s="44"/>
      <c r="Z4" s="44"/>
      <c r="AA4" s="45"/>
    </row>
    <row r="5" spans="2:27" ht="15" customHeight="1" x14ac:dyDescent="0.4">
      <c r="B5" s="34"/>
      <c r="C5" s="35"/>
      <c r="D5" s="35"/>
      <c r="E5" s="35"/>
      <c r="F5" s="35"/>
      <c r="G5" s="35"/>
      <c r="H5" s="35"/>
      <c r="I5" s="35"/>
      <c r="J5" s="35"/>
      <c r="K5" s="35"/>
      <c r="L5" s="35"/>
      <c r="M5" s="35"/>
      <c r="N5" s="35"/>
      <c r="O5" s="35"/>
      <c r="P5" s="35"/>
      <c r="Q5" s="35"/>
      <c r="R5" s="35"/>
      <c r="S5" s="35"/>
      <c r="T5" s="35"/>
      <c r="U5" s="35"/>
      <c r="V5" s="35"/>
      <c r="W5" s="35"/>
      <c r="X5" s="35"/>
      <c r="Y5" s="35"/>
      <c r="Z5" s="35"/>
      <c r="AA5" s="36"/>
    </row>
    <row r="6" spans="2:27" x14ac:dyDescent="0.4">
      <c r="B6" s="34"/>
      <c r="C6" s="35"/>
      <c r="D6" s="35"/>
      <c r="E6" s="35"/>
      <c r="F6" s="35"/>
      <c r="G6" s="35"/>
      <c r="H6" s="35"/>
      <c r="I6" s="35"/>
      <c r="J6" s="35"/>
      <c r="K6" s="35"/>
      <c r="L6" s="35"/>
      <c r="M6" s="35"/>
      <c r="N6" s="35"/>
      <c r="O6" s="35"/>
      <c r="P6" s="35"/>
      <c r="Q6" s="35"/>
      <c r="R6" s="35"/>
      <c r="S6" s="35"/>
      <c r="T6" s="35"/>
      <c r="U6" s="35"/>
      <c r="V6" s="35"/>
      <c r="W6" s="35"/>
      <c r="X6" s="35"/>
      <c r="Y6" s="35"/>
      <c r="Z6" s="35"/>
      <c r="AA6" s="36"/>
    </row>
    <row r="7" spans="2:27" x14ac:dyDescent="0.4">
      <c r="B7" s="34"/>
      <c r="C7" s="35"/>
      <c r="D7" s="35"/>
      <c r="E7" s="35"/>
      <c r="F7" s="35"/>
      <c r="G7" s="35"/>
      <c r="H7" s="35"/>
      <c r="I7" s="35"/>
      <c r="J7" s="35"/>
      <c r="K7" s="35"/>
      <c r="L7" s="35"/>
      <c r="M7" s="35"/>
      <c r="N7" s="35"/>
      <c r="O7" s="35"/>
      <c r="P7" s="35"/>
      <c r="Q7" s="35"/>
      <c r="R7" s="35"/>
      <c r="S7" s="35"/>
      <c r="T7" s="35"/>
      <c r="U7" s="35"/>
      <c r="V7" s="35"/>
      <c r="W7" s="35"/>
      <c r="X7" s="35"/>
      <c r="Y7" s="35"/>
      <c r="Z7" s="35"/>
      <c r="AA7" s="36"/>
    </row>
    <row r="8" spans="2:27" x14ac:dyDescent="0.4">
      <c r="B8" s="34"/>
      <c r="C8" s="35"/>
      <c r="D8" s="35"/>
      <c r="E8" s="35"/>
      <c r="F8" s="35"/>
      <c r="G8" s="35"/>
      <c r="H8" s="35"/>
      <c r="I8" s="35"/>
      <c r="J8" s="35"/>
      <c r="K8" s="35"/>
      <c r="L8" s="35"/>
      <c r="M8" s="35"/>
      <c r="N8" s="35"/>
      <c r="O8" s="35"/>
      <c r="P8" s="35"/>
      <c r="Q8" s="35"/>
      <c r="R8" s="35"/>
      <c r="S8" s="35"/>
      <c r="T8" s="35"/>
      <c r="U8" s="35"/>
      <c r="V8" s="35"/>
      <c r="W8" s="35"/>
      <c r="X8" s="35"/>
      <c r="Y8" s="35"/>
      <c r="Z8" s="35"/>
      <c r="AA8" s="36"/>
    </row>
    <row r="9" spans="2:27" x14ac:dyDescent="0.4">
      <c r="B9" s="34"/>
      <c r="C9" s="35"/>
      <c r="D9" s="35"/>
      <c r="E9" s="35"/>
      <c r="F9" s="35"/>
      <c r="G9" s="35"/>
      <c r="H9" s="35"/>
      <c r="I9" s="35"/>
      <c r="J9" s="35"/>
      <c r="K9" s="35"/>
      <c r="L9" s="35"/>
      <c r="M9" s="35"/>
      <c r="N9" s="35"/>
      <c r="O9" s="35"/>
      <c r="P9" s="35"/>
      <c r="Q9" s="35"/>
      <c r="R9" s="35"/>
      <c r="S9" s="35"/>
      <c r="T9" s="35"/>
      <c r="U9" s="35"/>
      <c r="V9" s="35"/>
      <c r="W9" s="35"/>
      <c r="X9" s="35"/>
      <c r="Y9" s="35"/>
      <c r="Z9" s="35"/>
      <c r="AA9" s="36"/>
    </row>
    <row r="10" spans="2:27" x14ac:dyDescent="0.4">
      <c r="B10" s="34"/>
      <c r="C10" s="35"/>
      <c r="D10" s="35"/>
      <c r="E10" s="35"/>
      <c r="F10" s="35"/>
      <c r="G10" s="35"/>
      <c r="H10" s="35"/>
      <c r="I10" s="35"/>
      <c r="J10" s="35"/>
      <c r="K10" s="35"/>
      <c r="L10" s="35"/>
      <c r="M10" s="35"/>
      <c r="N10" s="35"/>
      <c r="O10" s="35"/>
      <c r="P10" s="35"/>
      <c r="Q10" s="35"/>
      <c r="R10" s="35"/>
      <c r="S10" s="35"/>
      <c r="T10" s="35"/>
      <c r="U10" s="35"/>
      <c r="V10" s="35"/>
      <c r="W10" s="35"/>
      <c r="X10" s="35"/>
      <c r="Y10" s="35"/>
      <c r="Z10" s="35"/>
      <c r="AA10" s="36"/>
    </row>
    <row r="11" spans="2:27" x14ac:dyDescent="0.4">
      <c r="B11" s="34"/>
      <c r="C11" s="35"/>
      <c r="D11" s="35"/>
      <c r="E11" s="35"/>
      <c r="F11" s="35"/>
      <c r="G11" s="35"/>
      <c r="H11" s="35"/>
      <c r="I11" s="35"/>
      <c r="J11" s="35"/>
      <c r="K11" s="35"/>
      <c r="L11" s="35"/>
      <c r="M11" s="35"/>
      <c r="N11" s="35"/>
      <c r="O11" s="35"/>
      <c r="P11" s="35"/>
      <c r="Q11" s="35"/>
      <c r="R11" s="35"/>
      <c r="S11" s="35"/>
      <c r="T11" s="35"/>
      <c r="U11" s="35"/>
      <c r="V11" s="35"/>
      <c r="W11" s="35"/>
      <c r="X11" s="35"/>
      <c r="Y11" s="35"/>
      <c r="Z11" s="35"/>
      <c r="AA11" s="36"/>
    </row>
    <row r="12" spans="2:27" x14ac:dyDescent="0.4">
      <c r="B12" s="34"/>
      <c r="C12" s="35"/>
      <c r="D12" s="35"/>
      <c r="E12" s="35"/>
      <c r="F12" s="35"/>
      <c r="G12" s="35"/>
      <c r="H12" s="35"/>
      <c r="I12" s="35"/>
      <c r="J12" s="35"/>
      <c r="K12" s="35"/>
      <c r="L12" s="35"/>
      <c r="M12" s="35"/>
      <c r="N12" s="35"/>
      <c r="O12" s="35"/>
      <c r="P12" s="35"/>
      <c r="Q12" s="35"/>
      <c r="R12" s="35"/>
      <c r="S12" s="35"/>
      <c r="T12" s="35"/>
      <c r="U12" s="35"/>
      <c r="V12" s="35"/>
      <c r="W12" s="35"/>
      <c r="X12" s="35"/>
      <c r="Y12" s="35"/>
      <c r="Z12" s="35"/>
      <c r="AA12" s="36"/>
    </row>
    <row r="13" spans="2:27" x14ac:dyDescent="0.4">
      <c r="B13" s="34"/>
      <c r="C13" s="35"/>
      <c r="D13" s="35"/>
      <c r="E13" s="35"/>
      <c r="F13" s="35"/>
      <c r="G13" s="35"/>
      <c r="H13" s="35"/>
      <c r="I13" s="35"/>
      <c r="J13" s="35"/>
      <c r="K13" s="35"/>
      <c r="L13" s="35"/>
      <c r="M13" s="35"/>
      <c r="N13" s="35"/>
      <c r="O13" s="35"/>
      <c r="P13" s="35"/>
      <c r="Q13" s="35"/>
      <c r="R13" s="35"/>
      <c r="S13" s="35"/>
      <c r="T13" s="35"/>
      <c r="U13" s="35"/>
      <c r="V13" s="35"/>
      <c r="W13" s="35"/>
      <c r="X13" s="35"/>
      <c r="Y13" s="35"/>
      <c r="Z13" s="35"/>
      <c r="AA13" s="36"/>
    </row>
    <row r="14" spans="2:27" x14ac:dyDescent="0.4">
      <c r="B14" s="34"/>
      <c r="C14" s="35"/>
      <c r="D14" s="35"/>
      <c r="E14" s="35"/>
      <c r="F14" s="35"/>
      <c r="G14" s="35"/>
      <c r="H14" s="35"/>
      <c r="I14" s="35"/>
      <c r="J14" s="35"/>
      <c r="K14" s="35"/>
      <c r="L14" s="35"/>
      <c r="M14" s="35"/>
      <c r="N14" s="35"/>
      <c r="O14" s="35"/>
      <c r="P14" s="35"/>
      <c r="Q14" s="35"/>
      <c r="R14" s="35"/>
      <c r="S14" s="35"/>
      <c r="T14" s="35"/>
      <c r="U14" s="35"/>
      <c r="V14" s="35"/>
      <c r="W14" s="35"/>
      <c r="X14" s="35"/>
      <c r="Y14" s="35"/>
      <c r="Z14" s="35"/>
      <c r="AA14" s="36"/>
    </row>
    <row r="15" spans="2:27" x14ac:dyDescent="0.4">
      <c r="B15" s="34"/>
      <c r="C15" s="35"/>
      <c r="D15" s="35"/>
      <c r="E15" s="35"/>
      <c r="F15" s="35"/>
      <c r="G15" s="35"/>
      <c r="H15" s="35"/>
      <c r="I15" s="35"/>
      <c r="J15" s="35"/>
      <c r="K15" s="35"/>
      <c r="L15" s="35"/>
      <c r="M15" s="35"/>
      <c r="N15" s="35"/>
      <c r="O15" s="35"/>
      <c r="P15" s="35"/>
      <c r="Q15" s="35"/>
      <c r="R15" s="35"/>
      <c r="S15" s="35"/>
      <c r="T15" s="35"/>
      <c r="U15" s="35"/>
      <c r="V15" s="35"/>
      <c r="W15" s="35"/>
      <c r="X15" s="35"/>
      <c r="Y15" s="35"/>
      <c r="Z15" s="35"/>
      <c r="AA15" s="36"/>
    </row>
    <row r="16" spans="2:27" x14ac:dyDescent="0.4">
      <c r="B16" s="34"/>
      <c r="C16" s="35"/>
      <c r="D16" s="35"/>
      <c r="E16" s="35"/>
      <c r="F16" s="35"/>
      <c r="G16" s="35"/>
      <c r="H16" s="35"/>
      <c r="I16" s="35"/>
      <c r="J16" s="35"/>
      <c r="K16" s="35"/>
      <c r="L16" s="35"/>
      <c r="M16" s="35"/>
      <c r="N16" s="35"/>
      <c r="O16" s="35"/>
      <c r="P16" s="35"/>
      <c r="Q16" s="35"/>
      <c r="R16" s="35"/>
      <c r="S16" s="35"/>
      <c r="T16" s="35"/>
      <c r="U16" s="35"/>
      <c r="V16" s="35"/>
      <c r="W16" s="35"/>
      <c r="X16" s="35"/>
      <c r="Y16" s="35"/>
      <c r="Z16" s="35"/>
      <c r="AA16" s="36"/>
    </row>
    <row r="17" spans="2:27" x14ac:dyDescent="0.4">
      <c r="B17" s="34"/>
      <c r="C17" s="35"/>
      <c r="D17" s="35"/>
      <c r="E17" s="35"/>
      <c r="F17" s="35"/>
      <c r="G17" s="35"/>
      <c r="H17" s="35"/>
      <c r="I17" s="35"/>
      <c r="J17" s="35"/>
      <c r="K17" s="35"/>
      <c r="L17" s="35"/>
      <c r="M17" s="35"/>
      <c r="N17" s="35"/>
      <c r="O17" s="35"/>
      <c r="P17" s="35"/>
      <c r="Q17" s="35"/>
      <c r="R17" s="35"/>
      <c r="S17" s="35"/>
      <c r="T17" s="35"/>
      <c r="U17" s="35"/>
      <c r="V17" s="35"/>
      <c r="W17" s="35"/>
      <c r="X17" s="35"/>
      <c r="Y17" s="35"/>
      <c r="Z17" s="35"/>
      <c r="AA17" s="36"/>
    </row>
    <row r="18" spans="2:27" x14ac:dyDescent="0.4">
      <c r="B18" s="34"/>
      <c r="C18" s="35"/>
      <c r="D18" s="35"/>
      <c r="E18" s="35"/>
      <c r="F18" s="35"/>
      <c r="G18" s="35"/>
      <c r="H18" s="35"/>
      <c r="I18" s="35"/>
      <c r="J18" s="35"/>
      <c r="K18" s="35"/>
      <c r="L18" s="35"/>
      <c r="M18" s="35"/>
      <c r="N18" s="35"/>
      <c r="O18" s="35"/>
      <c r="P18" s="35"/>
      <c r="Q18" s="35"/>
      <c r="R18" s="35"/>
      <c r="S18" s="35"/>
      <c r="T18" s="35"/>
      <c r="U18" s="35"/>
      <c r="V18" s="35"/>
      <c r="W18" s="35"/>
      <c r="X18" s="35"/>
      <c r="Y18" s="35"/>
      <c r="Z18" s="35"/>
      <c r="AA18" s="36"/>
    </row>
    <row r="19" spans="2:27" x14ac:dyDescent="0.4">
      <c r="B19" s="34"/>
      <c r="C19" s="35"/>
      <c r="D19" s="35"/>
      <c r="E19" s="35"/>
      <c r="F19" s="35"/>
      <c r="G19" s="35"/>
      <c r="H19" s="35"/>
      <c r="I19" s="35"/>
      <c r="J19" s="35"/>
      <c r="K19" s="35"/>
      <c r="L19" s="35"/>
      <c r="M19" s="35"/>
      <c r="N19" s="35"/>
      <c r="O19" s="35"/>
      <c r="P19" s="35"/>
      <c r="Q19" s="35"/>
      <c r="R19" s="35"/>
      <c r="S19" s="35"/>
      <c r="T19" s="35"/>
      <c r="U19" s="35"/>
      <c r="V19" s="35"/>
      <c r="W19" s="35"/>
      <c r="X19" s="35"/>
      <c r="Y19" s="35"/>
      <c r="Z19" s="35"/>
      <c r="AA19" s="36"/>
    </row>
    <row r="20" spans="2:27" x14ac:dyDescent="0.4">
      <c r="B20" s="34"/>
      <c r="C20" s="35"/>
      <c r="D20" s="35"/>
      <c r="E20" s="35"/>
      <c r="F20" s="35"/>
      <c r="G20" s="35"/>
      <c r="H20" s="35"/>
      <c r="I20" s="35"/>
      <c r="J20" s="35"/>
      <c r="K20" s="35"/>
      <c r="L20" s="35"/>
      <c r="M20" s="35"/>
      <c r="N20" s="35"/>
      <c r="O20" s="35"/>
      <c r="P20" s="35"/>
      <c r="Q20" s="35"/>
      <c r="R20" s="35"/>
      <c r="S20" s="35"/>
      <c r="T20" s="35"/>
      <c r="U20" s="35"/>
      <c r="V20" s="35"/>
      <c r="W20" s="35"/>
      <c r="X20" s="35"/>
      <c r="Y20" s="35"/>
      <c r="Z20" s="35"/>
      <c r="AA20" s="36"/>
    </row>
    <row r="21" spans="2:27" x14ac:dyDescent="0.4">
      <c r="B21" s="34"/>
      <c r="C21" s="35"/>
      <c r="D21" s="35"/>
      <c r="E21" s="35"/>
      <c r="F21" s="35"/>
      <c r="G21" s="35"/>
      <c r="H21" s="35"/>
      <c r="I21" s="35"/>
      <c r="J21" s="35"/>
      <c r="K21" s="35"/>
      <c r="L21" s="35"/>
      <c r="M21" s="35"/>
      <c r="N21" s="35"/>
      <c r="O21" s="35"/>
      <c r="P21" s="35"/>
      <c r="Q21" s="35"/>
      <c r="R21" s="35"/>
      <c r="S21" s="35"/>
      <c r="T21" s="35"/>
      <c r="U21" s="35"/>
      <c r="V21" s="35"/>
      <c r="W21" s="35"/>
      <c r="X21" s="35"/>
      <c r="Y21" s="35"/>
      <c r="Z21" s="35"/>
      <c r="AA21" s="36"/>
    </row>
    <row r="22" spans="2:27" x14ac:dyDescent="0.4">
      <c r="B22" s="34"/>
      <c r="C22" s="35"/>
      <c r="D22" s="35"/>
      <c r="E22" s="35"/>
      <c r="F22" s="35"/>
      <c r="G22" s="35"/>
      <c r="H22" s="35"/>
      <c r="I22" s="35"/>
      <c r="J22" s="35"/>
      <c r="K22" s="35"/>
      <c r="L22" s="35"/>
      <c r="M22" s="35"/>
      <c r="N22" s="35"/>
      <c r="O22" s="35"/>
      <c r="P22" s="35"/>
      <c r="Q22" s="35"/>
      <c r="R22" s="35"/>
      <c r="S22" s="35"/>
      <c r="T22" s="35"/>
      <c r="U22" s="35"/>
      <c r="V22" s="35"/>
      <c r="W22" s="35"/>
      <c r="X22" s="35"/>
      <c r="Y22" s="35"/>
      <c r="Z22" s="35"/>
      <c r="AA22" s="36"/>
    </row>
    <row r="23" spans="2:27" x14ac:dyDescent="0.4">
      <c r="B23" s="34"/>
      <c r="C23" s="35"/>
      <c r="D23" s="35"/>
      <c r="E23" s="35"/>
      <c r="F23" s="35"/>
      <c r="G23" s="35"/>
      <c r="H23" s="35"/>
      <c r="I23" s="35"/>
      <c r="J23" s="35"/>
      <c r="K23" s="35"/>
      <c r="L23" s="35"/>
      <c r="M23" s="35"/>
      <c r="N23" s="35"/>
      <c r="O23" s="35"/>
      <c r="P23" s="35"/>
      <c r="Q23" s="35"/>
      <c r="R23" s="35"/>
      <c r="S23" s="35"/>
      <c r="T23" s="35"/>
      <c r="U23" s="35"/>
      <c r="V23" s="35"/>
      <c r="W23" s="35"/>
      <c r="X23" s="35"/>
      <c r="Y23" s="35"/>
      <c r="Z23" s="35"/>
      <c r="AA23" s="36"/>
    </row>
    <row r="24" spans="2:27" x14ac:dyDescent="0.4">
      <c r="B24" s="34"/>
      <c r="C24" s="35"/>
      <c r="D24" s="35"/>
      <c r="E24" s="35"/>
      <c r="F24" s="35"/>
      <c r="G24" s="35"/>
      <c r="H24" s="35"/>
      <c r="I24" s="35"/>
      <c r="J24" s="35"/>
      <c r="K24" s="35"/>
      <c r="L24" s="35"/>
      <c r="M24" s="35"/>
      <c r="N24" s="35"/>
      <c r="O24" s="35"/>
      <c r="P24" s="35"/>
      <c r="Q24" s="35"/>
      <c r="R24" s="35"/>
      <c r="S24" s="35"/>
      <c r="T24" s="35"/>
      <c r="U24" s="35"/>
      <c r="V24" s="35"/>
      <c r="W24" s="35"/>
      <c r="X24" s="35"/>
      <c r="Y24" s="35"/>
      <c r="Z24" s="35"/>
      <c r="AA24" s="36"/>
    </row>
    <row r="25" spans="2:27" x14ac:dyDescent="0.4">
      <c r="B25" s="34"/>
      <c r="C25" s="35"/>
      <c r="D25" s="35"/>
      <c r="E25" s="35"/>
      <c r="F25" s="35"/>
      <c r="G25" s="35"/>
      <c r="H25" s="35"/>
      <c r="I25" s="35"/>
      <c r="J25" s="35"/>
      <c r="K25" s="35"/>
      <c r="L25" s="35"/>
      <c r="M25" s="35"/>
      <c r="N25" s="35"/>
      <c r="O25" s="35"/>
      <c r="P25" s="35"/>
      <c r="Q25" s="35"/>
      <c r="R25" s="35"/>
      <c r="S25" s="35"/>
      <c r="T25" s="35"/>
      <c r="U25" s="35"/>
      <c r="V25" s="35"/>
      <c r="W25" s="35"/>
      <c r="X25" s="35"/>
      <c r="Y25" s="35"/>
      <c r="Z25" s="35"/>
      <c r="AA25" s="36"/>
    </row>
    <row r="26" spans="2:27" x14ac:dyDescent="0.4">
      <c r="B26" s="34"/>
      <c r="C26" s="35"/>
      <c r="D26" s="35"/>
      <c r="E26" s="35"/>
      <c r="F26" s="35"/>
      <c r="G26" s="35"/>
      <c r="H26" s="35"/>
      <c r="I26" s="35"/>
      <c r="J26" s="35"/>
      <c r="K26" s="35"/>
      <c r="L26" s="35"/>
      <c r="M26" s="35"/>
      <c r="N26" s="35"/>
      <c r="O26" s="35"/>
      <c r="P26" s="35"/>
      <c r="Q26" s="35"/>
      <c r="R26" s="35"/>
      <c r="S26" s="35"/>
      <c r="T26" s="35"/>
      <c r="U26" s="35"/>
      <c r="V26" s="35"/>
      <c r="W26" s="35"/>
      <c r="X26" s="35"/>
      <c r="Y26" s="35"/>
      <c r="Z26" s="35"/>
      <c r="AA26" s="36"/>
    </row>
    <row r="27" spans="2:27" x14ac:dyDescent="0.4">
      <c r="B27" s="34"/>
      <c r="C27" s="35"/>
      <c r="D27" s="35"/>
      <c r="E27" s="35"/>
      <c r="F27" s="35"/>
      <c r="G27" s="35"/>
      <c r="H27" s="35"/>
      <c r="I27" s="35"/>
      <c r="J27" s="35"/>
      <c r="K27" s="35"/>
      <c r="L27" s="35"/>
      <c r="M27" s="35"/>
      <c r="N27" s="35"/>
      <c r="O27" s="35"/>
      <c r="P27" s="35"/>
      <c r="Q27" s="35"/>
      <c r="R27" s="35"/>
      <c r="S27" s="35"/>
      <c r="T27" s="35"/>
      <c r="U27" s="35"/>
      <c r="V27" s="35"/>
      <c r="W27" s="35"/>
      <c r="X27" s="35"/>
      <c r="Y27" s="35"/>
      <c r="Z27" s="35"/>
      <c r="AA27" s="36"/>
    </row>
    <row r="28" spans="2:27" x14ac:dyDescent="0.4">
      <c r="B28" s="34"/>
      <c r="C28" s="35"/>
      <c r="D28" s="35"/>
      <c r="E28" s="35"/>
      <c r="F28" s="35"/>
      <c r="G28" s="35"/>
      <c r="H28" s="35"/>
      <c r="I28" s="35"/>
      <c r="J28" s="35"/>
      <c r="K28" s="35"/>
      <c r="L28" s="35"/>
      <c r="M28" s="35"/>
      <c r="N28" s="35"/>
      <c r="O28" s="35"/>
      <c r="P28" s="35"/>
      <c r="Q28" s="35"/>
      <c r="R28" s="35"/>
      <c r="S28" s="35"/>
      <c r="T28" s="35"/>
      <c r="U28" s="35"/>
      <c r="V28" s="35"/>
      <c r="W28" s="35"/>
      <c r="X28" s="35"/>
      <c r="Y28" s="35"/>
      <c r="Z28" s="35"/>
      <c r="AA28" s="36"/>
    </row>
    <row r="29" spans="2:27" x14ac:dyDescent="0.4">
      <c r="B29" s="34"/>
      <c r="C29" s="35"/>
      <c r="D29" s="35"/>
      <c r="E29" s="35"/>
      <c r="F29" s="35"/>
      <c r="G29" s="35"/>
      <c r="H29" s="35"/>
      <c r="I29" s="35"/>
      <c r="J29" s="35"/>
      <c r="K29" s="35"/>
      <c r="L29" s="35"/>
      <c r="M29" s="35"/>
      <c r="N29" s="35"/>
      <c r="O29" s="35"/>
      <c r="P29" s="35"/>
      <c r="Q29" s="35"/>
      <c r="R29" s="35"/>
      <c r="S29" s="35"/>
      <c r="T29" s="35"/>
      <c r="U29" s="35"/>
      <c r="V29" s="35"/>
      <c r="W29" s="35"/>
      <c r="X29" s="35"/>
      <c r="Y29" s="35"/>
      <c r="Z29" s="35"/>
      <c r="AA29" s="36"/>
    </row>
    <row r="30" spans="2:27" x14ac:dyDescent="0.4">
      <c r="B30" s="34"/>
      <c r="C30" s="35"/>
      <c r="D30" s="35"/>
      <c r="E30" s="35"/>
      <c r="F30" s="35"/>
      <c r="G30" s="35"/>
      <c r="H30" s="35"/>
      <c r="I30" s="35"/>
      <c r="J30" s="35"/>
      <c r="K30" s="35"/>
      <c r="L30" s="35"/>
      <c r="M30" s="35"/>
      <c r="N30" s="35"/>
      <c r="O30" s="35"/>
      <c r="P30" s="35"/>
      <c r="Q30" s="35"/>
      <c r="R30" s="35"/>
      <c r="S30" s="35"/>
      <c r="T30" s="35"/>
      <c r="U30" s="35"/>
      <c r="V30" s="35"/>
      <c r="W30" s="35"/>
      <c r="X30" s="35"/>
      <c r="Y30" s="35"/>
      <c r="Z30" s="35"/>
      <c r="AA30" s="36"/>
    </row>
    <row r="31" spans="2:27" x14ac:dyDescent="0.4">
      <c r="B31" s="34"/>
      <c r="C31" s="35"/>
      <c r="D31" s="35"/>
      <c r="E31" s="35"/>
      <c r="F31" s="35"/>
      <c r="G31" s="35"/>
      <c r="H31" s="35"/>
      <c r="I31" s="35"/>
      <c r="J31" s="35"/>
      <c r="K31" s="35"/>
      <c r="L31" s="35"/>
      <c r="M31" s="35"/>
      <c r="N31" s="35"/>
      <c r="O31" s="35"/>
      <c r="P31" s="35"/>
      <c r="Q31" s="35"/>
      <c r="R31" s="35"/>
      <c r="S31" s="35"/>
      <c r="T31" s="35"/>
      <c r="U31" s="35"/>
      <c r="V31" s="35"/>
      <c r="W31" s="35"/>
      <c r="X31" s="35"/>
      <c r="Y31" s="35"/>
      <c r="Z31" s="35"/>
      <c r="AA31" s="36"/>
    </row>
    <row r="32" spans="2:27" x14ac:dyDescent="0.4">
      <c r="B32" s="34"/>
      <c r="C32" s="35"/>
      <c r="D32" s="35"/>
      <c r="E32" s="35"/>
      <c r="F32" s="35"/>
      <c r="G32" s="35"/>
      <c r="H32" s="35"/>
      <c r="I32" s="35"/>
      <c r="J32" s="35"/>
      <c r="K32" s="35"/>
      <c r="L32" s="35"/>
      <c r="M32" s="35"/>
      <c r="N32" s="35"/>
      <c r="O32" s="35"/>
      <c r="P32" s="35"/>
      <c r="Q32" s="35"/>
      <c r="R32" s="35"/>
      <c r="S32" s="35"/>
      <c r="T32" s="35"/>
      <c r="U32" s="35"/>
      <c r="V32" s="35"/>
      <c r="W32" s="35"/>
      <c r="X32" s="35"/>
      <c r="Y32" s="35"/>
      <c r="Z32" s="35"/>
      <c r="AA32" s="36"/>
    </row>
    <row r="33" spans="2:27" x14ac:dyDescent="0.4">
      <c r="B33" s="34"/>
      <c r="C33" s="35"/>
      <c r="D33" s="35"/>
      <c r="E33" s="35"/>
      <c r="F33" s="35"/>
      <c r="G33" s="35"/>
      <c r="H33" s="35"/>
      <c r="I33" s="35"/>
      <c r="J33" s="35"/>
      <c r="K33" s="35"/>
      <c r="L33" s="35"/>
      <c r="M33" s="35"/>
      <c r="N33" s="35"/>
      <c r="O33" s="35"/>
      <c r="P33" s="35"/>
      <c r="Q33" s="35"/>
      <c r="R33" s="35"/>
      <c r="S33" s="35"/>
      <c r="T33" s="35"/>
      <c r="U33" s="35"/>
      <c r="V33" s="35"/>
      <c r="W33" s="35"/>
      <c r="X33" s="35"/>
      <c r="Y33" s="35"/>
      <c r="Z33" s="35"/>
      <c r="AA33" s="36"/>
    </row>
    <row r="34" spans="2:27" x14ac:dyDescent="0.4">
      <c r="B34" s="34"/>
      <c r="C34" s="35"/>
      <c r="D34" s="35"/>
      <c r="E34" s="35"/>
      <c r="F34" s="35"/>
      <c r="G34" s="35"/>
      <c r="H34" s="35"/>
      <c r="I34" s="35"/>
      <c r="J34" s="35"/>
      <c r="K34" s="35"/>
      <c r="L34" s="35"/>
      <c r="M34" s="35"/>
      <c r="N34" s="35"/>
      <c r="O34" s="35"/>
      <c r="P34" s="35"/>
      <c r="Q34" s="35"/>
      <c r="R34" s="35"/>
      <c r="S34" s="35"/>
      <c r="T34" s="35"/>
      <c r="U34" s="35"/>
      <c r="V34" s="35"/>
      <c r="W34" s="35"/>
      <c r="X34" s="35"/>
      <c r="Y34" s="35"/>
      <c r="Z34" s="35"/>
      <c r="AA34" s="36"/>
    </row>
    <row r="35" spans="2:27" x14ac:dyDescent="0.4">
      <c r="B35" s="34"/>
      <c r="C35" s="35"/>
      <c r="D35" s="35"/>
      <c r="E35" s="35"/>
      <c r="F35" s="35"/>
      <c r="G35" s="35"/>
      <c r="H35" s="35"/>
      <c r="I35" s="35"/>
      <c r="J35" s="35"/>
      <c r="K35" s="35"/>
      <c r="L35" s="35"/>
      <c r="M35" s="35"/>
      <c r="N35" s="35"/>
      <c r="O35" s="35"/>
      <c r="P35" s="35"/>
      <c r="Q35" s="35"/>
      <c r="R35" s="35"/>
      <c r="S35" s="35"/>
      <c r="T35" s="35"/>
      <c r="U35" s="35"/>
      <c r="V35" s="35"/>
      <c r="W35" s="35"/>
      <c r="X35" s="35"/>
      <c r="Y35" s="35"/>
      <c r="Z35" s="35"/>
      <c r="AA35" s="36"/>
    </row>
    <row r="36" spans="2:27" x14ac:dyDescent="0.4">
      <c r="B36" s="34"/>
      <c r="C36" s="35"/>
      <c r="D36" s="35"/>
      <c r="E36" s="35"/>
      <c r="F36" s="35"/>
      <c r="G36" s="35"/>
      <c r="H36" s="35"/>
      <c r="I36" s="35"/>
      <c r="J36" s="35"/>
      <c r="K36" s="35"/>
      <c r="L36" s="35"/>
      <c r="M36" s="35"/>
      <c r="N36" s="35"/>
      <c r="O36" s="35"/>
      <c r="P36" s="35"/>
      <c r="Q36" s="35"/>
      <c r="R36" s="35"/>
      <c r="S36" s="35"/>
      <c r="T36" s="35"/>
      <c r="U36" s="35"/>
      <c r="V36" s="35"/>
      <c r="W36" s="35"/>
      <c r="X36" s="35"/>
      <c r="Y36" s="35"/>
      <c r="Z36" s="35"/>
      <c r="AA36" s="36"/>
    </row>
    <row r="37" spans="2:27" x14ac:dyDescent="0.4">
      <c r="B37" s="34"/>
      <c r="C37" s="35"/>
      <c r="D37" s="35"/>
      <c r="E37" s="35"/>
      <c r="F37" s="35"/>
      <c r="G37" s="35"/>
      <c r="H37" s="35"/>
      <c r="I37" s="35"/>
      <c r="J37" s="35"/>
      <c r="K37" s="35"/>
      <c r="L37" s="35"/>
      <c r="M37" s="35"/>
      <c r="N37" s="35"/>
      <c r="O37" s="35"/>
      <c r="P37" s="35"/>
      <c r="Q37" s="35"/>
      <c r="R37" s="35"/>
      <c r="S37" s="35"/>
      <c r="T37" s="35"/>
      <c r="U37" s="35"/>
      <c r="V37" s="35"/>
      <c r="W37" s="35"/>
      <c r="X37" s="35"/>
      <c r="Y37" s="35"/>
      <c r="Z37" s="35"/>
      <c r="AA37" s="36"/>
    </row>
    <row r="38" spans="2:27" x14ac:dyDescent="0.4">
      <c r="B38" s="34"/>
      <c r="C38" s="35"/>
      <c r="D38" s="35"/>
      <c r="E38" s="35"/>
      <c r="F38" s="35"/>
      <c r="G38" s="35"/>
      <c r="H38" s="35"/>
      <c r="I38" s="35"/>
      <c r="J38" s="35"/>
      <c r="K38" s="35"/>
      <c r="L38" s="35"/>
      <c r="M38" s="35"/>
      <c r="N38" s="35"/>
      <c r="O38" s="35"/>
      <c r="P38" s="35"/>
      <c r="Q38" s="35"/>
      <c r="R38" s="35"/>
      <c r="S38" s="35"/>
      <c r="T38" s="35"/>
      <c r="U38" s="35"/>
      <c r="V38" s="35"/>
      <c r="W38" s="35"/>
      <c r="X38" s="35"/>
      <c r="Y38" s="35"/>
      <c r="Z38" s="35"/>
      <c r="AA38" s="36"/>
    </row>
    <row r="39" spans="2:27" x14ac:dyDescent="0.4">
      <c r="B39" s="34"/>
      <c r="C39" s="35"/>
      <c r="D39" s="35"/>
      <c r="E39" s="35"/>
      <c r="F39" s="35"/>
      <c r="G39" s="35"/>
      <c r="H39" s="35"/>
      <c r="I39" s="35"/>
      <c r="J39" s="35"/>
      <c r="K39" s="35"/>
      <c r="L39" s="35"/>
      <c r="M39" s="35"/>
      <c r="N39" s="35"/>
      <c r="O39" s="35"/>
      <c r="P39" s="35"/>
      <c r="Q39" s="35"/>
      <c r="R39" s="35"/>
      <c r="S39" s="35"/>
      <c r="T39" s="35"/>
      <c r="U39" s="35"/>
      <c r="V39" s="35"/>
      <c r="W39" s="35"/>
      <c r="X39" s="35"/>
      <c r="Y39" s="35"/>
      <c r="Z39" s="35"/>
      <c r="AA39" s="36"/>
    </row>
    <row r="40" spans="2:27" x14ac:dyDescent="0.4">
      <c r="B40" s="34"/>
      <c r="C40" s="35"/>
      <c r="D40" s="35"/>
      <c r="E40" s="35"/>
      <c r="F40" s="35"/>
      <c r="G40" s="35"/>
      <c r="H40" s="35"/>
      <c r="I40" s="35"/>
      <c r="J40" s="35"/>
      <c r="K40" s="35"/>
      <c r="L40" s="35"/>
      <c r="M40" s="35"/>
      <c r="N40" s="35"/>
      <c r="O40" s="35"/>
      <c r="P40" s="35"/>
      <c r="Q40" s="35"/>
      <c r="R40" s="35"/>
      <c r="S40" s="35"/>
      <c r="T40" s="35"/>
      <c r="U40" s="35"/>
      <c r="V40" s="35"/>
      <c r="W40" s="35"/>
      <c r="X40" s="35"/>
      <c r="Y40" s="35"/>
      <c r="Z40" s="35"/>
      <c r="AA40" s="36"/>
    </row>
    <row r="41" spans="2:27" x14ac:dyDescent="0.4">
      <c r="B41" s="34"/>
      <c r="C41" s="35"/>
      <c r="D41" s="35"/>
      <c r="E41" s="35"/>
      <c r="F41" s="35"/>
      <c r="G41" s="35"/>
      <c r="H41" s="35"/>
      <c r="I41" s="35"/>
      <c r="J41" s="35"/>
      <c r="K41" s="35"/>
      <c r="L41" s="35"/>
      <c r="M41" s="35"/>
      <c r="N41" s="35"/>
      <c r="O41" s="35"/>
      <c r="P41" s="35"/>
      <c r="Q41" s="35"/>
      <c r="R41" s="35"/>
      <c r="S41" s="35"/>
      <c r="T41" s="35"/>
      <c r="U41" s="35"/>
      <c r="V41" s="35"/>
      <c r="W41" s="35"/>
      <c r="X41" s="35"/>
      <c r="Y41" s="35"/>
      <c r="Z41" s="35"/>
      <c r="AA41" s="36"/>
    </row>
    <row r="42" spans="2:27" x14ac:dyDescent="0.4">
      <c r="B42" s="34"/>
      <c r="C42" s="35"/>
      <c r="D42" s="35"/>
      <c r="E42" s="35"/>
      <c r="F42" s="35"/>
      <c r="G42" s="35"/>
      <c r="H42" s="35"/>
      <c r="I42" s="35"/>
      <c r="J42" s="35"/>
      <c r="K42" s="35"/>
      <c r="L42" s="35"/>
      <c r="M42" s="35"/>
      <c r="N42" s="35"/>
      <c r="O42" s="35"/>
      <c r="P42" s="35"/>
      <c r="Q42" s="35"/>
      <c r="R42" s="35"/>
      <c r="S42" s="35"/>
      <c r="T42" s="35"/>
      <c r="U42" s="35"/>
      <c r="V42" s="35"/>
      <c r="W42" s="35"/>
      <c r="X42" s="35"/>
      <c r="Y42" s="35"/>
      <c r="Z42" s="35"/>
      <c r="AA42" s="36"/>
    </row>
    <row r="43" spans="2:27" x14ac:dyDescent="0.4">
      <c r="B43" s="34"/>
      <c r="C43" s="35"/>
      <c r="D43" s="35"/>
      <c r="E43" s="35"/>
      <c r="F43" s="35"/>
      <c r="G43" s="35"/>
      <c r="H43" s="35"/>
      <c r="I43" s="35"/>
      <c r="J43" s="35"/>
      <c r="K43" s="35"/>
      <c r="L43" s="35"/>
      <c r="M43" s="35"/>
      <c r="N43" s="35"/>
      <c r="O43" s="35"/>
      <c r="P43" s="35"/>
      <c r="Q43" s="35"/>
      <c r="R43" s="35"/>
      <c r="S43" s="35"/>
      <c r="T43" s="35"/>
      <c r="U43" s="35"/>
      <c r="V43" s="35"/>
      <c r="W43" s="35"/>
      <c r="X43" s="35"/>
      <c r="Y43" s="35"/>
      <c r="Z43" s="35"/>
      <c r="AA43" s="36"/>
    </row>
    <row r="44" spans="2:27" x14ac:dyDescent="0.4">
      <c r="B44" s="34"/>
      <c r="C44" s="35"/>
      <c r="D44" s="35"/>
      <c r="E44" s="35"/>
      <c r="F44" s="35"/>
      <c r="G44" s="35"/>
      <c r="H44" s="35"/>
      <c r="I44" s="35"/>
      <c r="J44" s="35"/>
      <c r="K44" s="35"/>
      <c r="L44" s="35"/>
      <c r="M44" s="35"/>
      <c r="N44" s="35"/>
      <c r="O44" s="35"/>
      <c r="P44" s="35"/>
      <c r="Q44" s="35"/>
      <c r="R44" s="35"/>
      <c r="S44" s="35"/>
      <c r="T44" s="35"/>
      <c r="U44" s="35"/>
      <c r="V44" s="35"/>
      <c r="W44" s="35"/>
      <c r="X44" s="35"/>
      <c r="Y44" s="35"/>
      <c r="Z44" s="35"/>
      <c r="AA44" s="36"/>
    </row>
    <row r="45" spans="2:27" x14ac:dyDescent="0.4">
      <c r="B45" s="34"/>
      <c r="C45" s="35"/>
      <c r="D45" s="35"/>
      <c r="E45" s="35"/>
      <c r="F45" s="35"/>
      <c r="G45" s="35"/>
      <c r="H45" s="35"/>
      <c r="I45" s="35"/>
      <c r="J45" s="35"/>
      <c r="K45" s="35"/>
      <c r="L45" s="35"/>
      <c r="M45" s="35"/>
      <c r="N45" s="35"/>
      <c r="O45" s="35"/>
      <c r="P45" s="35"/>
      <c r="Q45" s="35"/>
      <c r="R45" s="35"/>
      <c r="S45" s="35"/>
      <c r="T45" s="35"/>
      <c r="U45" s="35"/>
      <c r="V45" s="35"/>
      <c r="W45" s="35"/>
      <c r="X45" s="35"/>
      <c r="Y45" s="35"/>
      <c r="Z45" s="35"/>
      <c r="AA45" s="36"/>
    </row>
    <row r="46" spans="2:27" ht="14.15" customHeight="1" x14ac:dyDescent="0.4">
      <c r="B46" s="34"/>
      <c r="C46" s="35"/>
      <c r="D46" s="35"/>
      <c r="E46" s="35"/>
      <c r="F46" s="35"/>
      <c r="G46" s="35"/>
      <c r="H46" s="35"/>
      <c r="I46" s="35"/>
      <c r="J46" s="35"/>
      <c r="K46" s="35"/>
      <c r="L46" s="35"/>
      <c r="M46" s="35"/>
      <c r="N46" s="35"/>
      <c r="O46" s="35"/>
      <c r="P46" s="35"/>
      <c r="Q46" s="35"/>
      <c r="R46" s="35"/>
      <c r="S46" s="35"/>
      <c r="T46" s="35"/>
      <c r="U46" s="35"/>
      <c r="V46" s="35"/>
      <c r="W46" s="35"/>
      <c r="X46" s="35"/>
      <c r="Y46" s="35"/>
      <c r="Z46" s="35"/>
      <c r="AA46" s="36"/>
    </row>
    <row r="47" spans="2:27" x14ac:dyDescent="0.4">
      <c r="B47" s="34"/>
      <c r="C47" s="35"/>
      <c r="D47" s="35"/>
      <c r="E47" s="35"/>
      <c r="F47" s="35"/>
      <c r="G47" s="35"/>
      <c r="H47" s="35"/>
      <c r="I47" s="35"/>
      <c r="J47" s="35"/>
      <c r="K47" s="35"/>
      <c r="L47" s="35"/>
      <c r="M47" s="35"/>
      <c r="N47" s="35"/>
      <c r="O47" s="35"/>
      <c r="P47" s="35"/>
      <c r="Q47" s="35"/>
      <c r="R47" s="35"/>
      <c r="S47" s="35"/>
      <c r="T47" s="35"/>
      <c r="U47" s="35"/>
      <c r="V47" s="35"/>
      <c r="W47" s="35"/>
      <c r="X47" s="35"/>
      <c r="Y47" s="35"/>
      <c r="Z47" s="35"/>
      <c r="AA47" s="36"/>
    </row>
    <row r="48" spans="2:27" x14ac:dyDescent="0.4">
      <c r="B48" s="34"/>
      <c r="C48" s="35"/>
      <c r="D48" s="35"/>
      <c r="E48" s="35"/>
      <c r="F48" s="35"/>
      <c r="G48" s="35"/>
      <c r="H48" s="35"/>
      <c r="I48" s="35"/>
      <c r="J48" s="35"/>
      <c r="K48" s="35"/>
      <c r="L48" s="35"/>
      <c r="M48" s="35"/>
      <c r="N48" s="35"/>
      <c r="O48" s="35"/>
      <c r="P48" s="35"/>
      <c r="Q48" s="35"/>
      <c r="R48" s="35"/>
      <c r="S48" s="35"/>
      <c r="T48" s="35"/>
      <c r="U48" s="35"/>
      <c r="V48" s="35"/>
      <c r="W48" s="35"/>
      <c r="X48" s="35"/>
      <c r="Y48" s="35"/>
      <c r="Z48" s="35"/>
      <c r="AA48" s="36"/>
    </row>
    <row r="49" spans="2:27" x14ac:dyDescent="0.4">
      <c r="B49" s="34"/>
      <c r="C49" s="35"/>
      <c r="D49" s="35"/>
      <c r="E49" s="35"/>
      <c r="F49" s="35"/>
      <c r="G49" s="35"/>
      <c r="H49" s="35"/>
      <c r="I49" s="35"/>
      <c r="J49" s="35"/>
      <c r="K49" s="35"/>
      <c r="L49" s="35"/>
      <c r="M49" s="35"/>
      <c r="N49" s="35"/>
      <c r="O49" s="35"/>
      <c r="P49" s="35"/>
      <c r="Q49" s="35"/>
      <c r="R49" s="35"/>
      <c r="S49" s="35"/>
      <c r="T49" s="35"/>
      <c r="U49" s="35"/>
      <c r="V49" s="35"/>
      <c r="W49" s="35"/>
      <c r="X49" s="35"/>
      <c r="Y49" s="35"/>
      <c r="Z49" s="35"/>
      <c r="AA49" s="36"/>
    </row>
    <row r="50" spans="2:27" x14ac:dyDescent="0.4">
      <c r="B50" s="34"/>
      <c r="C50" s="35"/>
      <c r="D50" s="35"/>
      <c r="E50" s="35"/>
      <c r="F50" s="35"/>
      <c r="G50" s="35"/>
      <c r="H50" s="35"/>
      <c r="I50" s="35"/>
      <c r="J50" s="35"/>
      <c r="K50" s="35"/>
      <c r="L50" s="35"/>
      <c r="M50" s="35"/>
      <c r="N50" s="35"/>
      <c r="O50" s="35"/>
      <c r="P50" s="35"/>
      <c r="Q50" s="35"/>
      <c r="R50" s="35"/>
      <c r="S50" s="35"/>
      <c r="T50" s="35"/>
      <c r="U50" s="35"/>
      <c r="V50" s="35"/>
      <c r="W50" s="35"/>
      <c r="X50" s="35"/>
      <c r="Y50" s="35"/>
      <c r="Z50" s="35"/>
      <c r="AA50" s="36"/>
    </row>
    <row r="51" spans="2:27" x14ac:dyDescent="0.4">
      <c r="B51" s="34"/>
      <c r="C51" s="35"/>
      <c r="D51" s="35"/>
      <c r="E51" s="35"/>
      <c r="F51" s="35"/>
      <c r="G51" s="35"/>
      <c r="H51" s="35"/>
      <c r="I51" s="35"/>
      <c r="J51" s="35"/>
      <c r="K51" s="35"/>
      <c r="L51" s="35"/>
      <c r="M51" s="35"/>
      <c r="N51" s="35"/>
      <c r="O51" s="35"/>
      <c r="P51" s="35"/>
      <c r="Q51" s="35"/>
      <c r="R51" s="35"/>
      <c r="S51" s="35"/>
      <c r="T51" s="35"/>
      <c r="U51" s="35"/>
      <c r="V51" s="35"/>
      <c r="W51" s="35"/>
      <c r="X51" s="35"/>
      <c r="Y51" s="35"/>
      <c r="Z51" s="35"/>
      <c r="AA51" s="36"/>
    </row>
    <row r="52" spans="2:27" x14ac:dyDescent="0.4">
      <c r="B52" s="34"/>
      <c r="C52" s="35"/>
      <c r="D52" s="35"/>
      <c r="E52" s="35"/>
      <c r="F52" s="35"/>
      <c r="G52" s="35"/>
      <c r="H52" s="35"/>
      <c r="I52" s="35"/>
      <c r="J52" s="35"/>
      <c r="K52" s="35"/>
      <c r="L52" s="35"/>
      <c r="M52" s="35"/>
      <c r="N52" s="35"/>
      <c r="O52" s="35"/>
      <c r="P52" s="35"/>
      <c r="Q52" s="35"/>
      <c r="R52" s="35"/>
      <c r="S52" s="35"/>
      <c r="T52" s="35"/>
      <c r="U52" s="35"/>
      <c r="V52" s="35"/>
      <c r="W52" s="35"/>
      <c r="X52" s="35"/>
      <c r="Y52" s="35"/>
      <c r="Z52" s="35"/>
      <c r="AA52" s="36"/>
    </row>
    <row r="53" spans="2:27" x14ac:dyDescent="0.4">
      <c r="B53" s="34"/>
      <c r="C53" s="35"/>
      <c r="D53" s="35"/>
      <c r="E53" s="35"/>
      <c r="F53" s="35"/>
      <c r="G53" s="35"/>
      <c r="H53" s="35"/>
      <c r="I53" s="35"/>
      <c r="J53" s="35"/>
      <c r="K53" s="35"/>
      <c r="L53" s="35"/>
      <c r="M53" s="35"/>
      <c r="N53" s="35"/>
      <c r="O53" s="35"/>
      <c r="P53" s="35"/>
      <c r="Q53" s="35"/>
      <c r="R53" s="35"/>
      <c r="S53" s="35"/>
      <c r="T53" s="35"/>
      <c r="U53" s="35"/>
      <c r="V53" s="35"/>
      <c r="W53" s="35"/>
      <c r="X53" s="35"/>
      <c r="Y53" s="35"/>
      <c r="Z53" s="35"/>
      <c r="AA53" s="36"/>
    </row>
    <row r="54" spans="2:27" x14ac:dyDescent="0.4">
      <c r="B54" s="34"/>
      <c r="C54" s="35"/>
      <c r="D54" s="35"/>
      <c r="E54" s="35"/>
      <c r="F54" s="35"/>
      <c r="G54" s="35"/>
      <c r="H54" s="35"/>
      <c r="I54" s="35"/>
      <c r="J54" s="35"/>
      <c r="K54" s="35"/>
      <c r="L54" s="35"/>
      <c r="M54" s="35"/>
      <c r="N54" s="35"/>
      <c r="O54" s="35"/>
      <c r="P54" s="35"/>
      <c r="Q54" s="35"/>
      <c r="R54" s="35"/>
      <c r="S54" s="35"/>
      <c r="T54" s="35"/>
      <c r="U54" s="35"/>
      <c r="V54" s="35"/>
      <c r="W54" s="35"/>
      <c r="X54" s="35"/>
      <c r="Y54" s="35"/>
      <c r="Z54" s="35"/>
      <c r="AA54" s="36"/>
    </row>
    <row r="55" spans="2:27" x14ac:dyDescent="0.4">
      <c r="B55" s="34"/>
      <c r="C55" s="35"/>
      <c r="D55" s="35"/>
      <c r="E55" s="35"/>
      <c r="F55" s="35"/>
      <c r="G55" s="35"/>
      <c r="H55" s="35"/>
      <c r="I55" s="35"/>
      <c r="J55" s="35"/>
      <c r="K55" s="35"/>
      <c r="L55" s="35"/>
      <c r="M55" s="35"/>
      <c r="N55" s="35"/>
      <c r="O55" s="35"/>
      <c r="P55" s="35"/>
      <c r="Q55" s="35"/>
      <c r="R55" s="35"/>
      <c r="S55" s="35"/>
      <c r="T55" s="35"/>
      <c r="U55" s="35"/>
      <c r="V55" s="35"/>
      <c r="W55" s="35"/>
      <c r="X55" s="35"/>
      <c r="Y55" s="35"/>
      <c r="Z55" s="35"/>
      <c r="AA55" s="36"/>
    </row>
    <row r="56" spans="2:27" x14ac:dyDescent="0.4">
      <c r="B56" s="37"/>
      <c r="C56" s="38"/>
      <c r="D56" s="38"/>
      <c r="E56" s="38"/>
      <c r="F56" s="38"/>
      <c r="G56" s="38"/>
      <c r="H56" s="38"/>
      <c r="I56" s="38"/>
      <c r="J56" s="38"/>
      <c r="K56" s="38"/>
      <c r="L56" s="38"/>
      <c r="M56" s="38"/>
      <c r="N56" s="38"/>
      <c r="O56" s="38"/>
      <c r="P56" s="38"/>
      <c r="Q56" s="38"/>
      <c r="R56" s="38"/>
      <c r="S56" s="38"/>
      <c r="T56" s="38"/>
      <c r="U56" s="38"/>
      <c r="V56" s="38"/>
      <c r="W56" s="38"/>
      <c r="X56" s="38"/>
      <c r="Y56" s="38"/>
      <c r="Z56" s="38"/>
      <c r="AA56" s="39"/>
    </row>
  </sheetData>
  <mergeCells count="1">
    <mergeCell ref="B2:AA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Federal Government Finance</vt:lpstr>
      <vt:lpstr>Federal Government Revenue</vt:lpstr>
      <vt:lpstr>F.G Operating Expenditure</vt:lpstr>
      <vt:lpstr>F.G Development Expenditure</vt:lpstr>
      <vt:lpstr>Chart 1</vt:lpstr>
      <vt:lpstr>Chart 2</vt:lpstr>
      <vt:lpstr>Chart 3</vt:lpstr>
      <vt:lpstr>Chart 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UITHISWARY A P VELAN</dc:creator>
  <cp:lastModifiedBy>UITHISWARY A P VELAN</cp:lastModifiedBy>
  <dcterms:created xsi:type="dcterms:W3CDTF">2025-01-31T15:18:57Z</dcterms:created>
  <dcterms:modified xsi:type="dcterms:W3CDTF">2025-02-06T16:49:50Z</dcterms:modified>
</cp:coreProperties>
</file>